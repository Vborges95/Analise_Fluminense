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P" sheetId="1" state="visible" r:id="rId3"/>
    <sheet name="DRE" sheetId="2" state="visible" r:id="rId4"/>
    <sheet name="Receita_Detalhada" sheetId="3" state="visible" r:id="rId5"/>
    <sheet name="DFC" sheetId="4" state="visible" r:id="rId6"/>
    <sheet name="Operacional_Puro" sheetId="5" state="visible" r:id="rId7"/>
    <sheet name="Indicadores" sheetId="6" state="visible" r:id="rId8"/>
    <sheet name="Premissas_Runway" sheetId="7" state="visible" r:id="rId9"/>
    <sheet name="Modelo_Runway" sheetId="8" state="visible" r:id="rId10"/>
    <sheet name="Resumo_Cenarios" sheetId="9" state="visible" r:id="rId11"/>
    <sheet name="Caminho_A_Trajetoria" sheetId="10" state="visible" r:id="rId12"/>
    <sheet name="Caminho_B_SAF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<sst xmlns="http://schemas.openxmlformats.org/spreadsheetml/2006/main" count="728" uniqueCount="656">
  <si>
    <t xml:space="preserve">FLUMINENSE FOOTBALL CLUB — Balanço Patrimonial</t>
  </si>
  <si>
    <t xml:space="preserve">Em milhares de Reais  |  Série principal: 2023 reap + 2024 + 2025 sob critério ITG 2003 (R2)  |  2022 = contexto histórico (R1, não comparável diretamente)</t>
  </si>
  <si>
    <t xml:space="preserve">2022 (R1)</t>
  </si>
  <si>
    <t xml:space="preserve">2023 reap (R2)</t>
  </si>
  <si>
    <t xml:space="preserve">2024 (R2)</t>
  </si>
  <si>
    <t xml:space="preserve">2025 (R2)</t>
  </si>
  <si>
    <t xml:space="preserve">Notas</t>
  </si>
  <si>
    <t xml:space="preserve">ATIVO</t>
  </si>
  <si>
    <t xml:space="preserve">Ativo Circulante</t>
  </si>
  <si>
    <t xml:space="preserve">Caixa e equivalentes de caixa</t>
  </si>
  <si>
    <t xml:space="preserve">Contas a receber</t>
  </si>
  <si>
    <t xml:space="preserve">Em 2024 inclui R$ 91.306 da Liga Forte (LFU/LFF), zerado em 2025</t>
  </si>
  <si>
    <t xml:space="preserve">Contas a receber na transferência de jogadores</t>
  </si>
  <si>
    <t xml:space="preserve">Adiantamentos a fornecedores</t>
  </si>
  <si>
    <t xml:space="preserve">Outros ativos</t>
  </si>
  <si>
    <t xml:space="preserve">Total Ativo Circulante</t>
  </si>
  <si>
    <t xml:space="preserve">Soma das linhas acima</t>
  </si>
  <si>
    <t xml:space="preserve">Ativo Não Circulante</t>
  </si>
  <si>
    <t xml:space="preserve">Contas a receber na transferência de jogadores (NC)</t>
  </si>
  <si>
    <t xml:space="preserve">Depósitos judiciais</t>
  </si>
  <si>
    <t xml:space="preserve">Investimentos (Fla-Flu Serviços S.A. — 35%)</t>
  </si>
  <si>
    <t xml:space="preserve">Concessão Maracanã 20 anos a partir de 27/09/2024</t>
  </si>
  <si>
    <t xml:space="preserve">Intangível</t>
  </si>
  <si>
    <t xml:space="preserve">Em 2025 inclui R$ 110.427 de "Direito de uso de Marca" (recompra FFU) — ressalva do auditor</t>
  </si>
  <si>
    <t xml:space="preserve">Imobilizado</t>
  </si>
  <si>
    <t xml:space="preserve">Terreno Laranjeiras R$ 152.000 (deemed cost 2012)</t>
  </si>
  <si>
    <t xml:space="preserve">Total Ativo Não Circulante</t>
  </si>
  <si>
    <t xml:space="preserve">TOTAL DO ATIVO</t>
  </si>
  <si>
    <t xml:space="preserve">Circulante + Não Circulante</t>
  </si>
  <si>
    <t xml:space="preserve">PASSIVO E PATRIMÔNIO LÍQUIDO</t>
  </si>
  <si>
    <t xml:space="preserve">Passivo Circulante</t>
  </si>
  <si>
    <t xml:space="preserve">Fornecedores e outras obrigações</t>
  </si>
  <si>
    <t xml:space="preserve">Contas a pagar na transferência de jogadores</t>
  </si>
  <si>
    <t xml:space="preserve">Aumento de 149% em 2025 — reflete parcelamento das 11 contratações</t>
  </si>
  <si>
    <t xml:space="preserve">Empréstimos e financiamentos</t>
  </si>
  <si>
    <t xml:space="preserve">Tributos parcelados</t>
  </si>
  <si>
    <t xml:space="preserve">Obrigações trabalhistas</t>
  </si>
  <si>
    <t xml:space="preserve">Folha de dezembro/2025 contabilizada (regime competência); paga em janeiro/2026</t>
  </si>
  <si>
    <t xml:space="preserve">Direitos de imagem a pagar</t>
  </si>
  <si>
    <t xml:space="preserve">Tributos a recolher</t>
  </si>
  <si>
    <t xml:space="preserve">Encargos sociais</t>
  </si>
  <si>
    <t xml:space="preserve">Contas a pagar oriundos de acordos judiciais</t>
  </si>
  <si>
    <t xml:space="preserve">Nota 14 do PDF 2025 mostra R$ 42.510 — divergência interna com BP; usar BP</t>
  </si>
  <si>
    <t xml:space="preserve">Adiantamentos recebidos</t>
  </si>
  <si>
    <t xml:space="preserve">Outros passivos</t>
  </si>
  <si>
    <t xml:space="preserve">Total Passivo Circulante</t>
  </si>
  <si>
    <t xml:space="preserve">Passivo Não Circulante</t>
  </si>
  <si>
    <t xml:space="preserve">Contas a pagar na transferência de jogadores (NC)</t>
  </si>
  <si>
    <t xml:space="preserve">Empréstimos e financiamentos (NC)</t>
  </si>
  <si>
    <t xml:space="preserve">Tributos parcelados (NC)</t>
  </si>
  <si>
    <t xml:space="preserve">Inclui nova transação PGFN nov/2025 (englobou RFB) com desconto R$ 89.766</t>
  </si>
  <si>
    <t xml:space="preserve">Contas a pagar oriundos de acordos judiciais (NC)</t>
  </si>
  <si>
    <t xml:space="preserve">Provisão para contingências</t>
  </si>
  <si>
    <t xml:space="preserve">Auditor 2025 indica déficit de provisão de R$ 34.176 — ressalva</t>
  </si>
  <si>
    <t xml:space="preserve">Adiantamentos recebidos (NC)</t>
  </si>
  <si>
    <t xml:space="preserve">Total Passivo Não Circulante</t>
  </si>
  <si>
    <t xml:space="preserve">TOTAL DO PASSIVO EXIGÍVEL</t>
  </si>
  <si>
    <t xml:space="preserve">Patrimônio Líquido (Passivo a Descoberto)</t>
  </si>
  <si>
    <t xml:space="preserve">Patrimônio Social</t>
  </si>
  <si>
    <t xml:space="preserve">Ajuste de Avaliação Patrimonial</t>
  </si>
  <si>
    <t xml:space="preserve">Realização do "Deemed Cost"</t>
  </si>
  <si>
    <t xml:space="preserve">Superávit do Exercício</t>
  </si>
  <si>
    <t xml:space="preserve">Ajustes da Adoção da ITG 2003 (R2)</t>
  </si>
  <si>
    <t xml:space="preserve">Baixa de "Atletas em Formação" contra patrimônio (2024)</t>
  </si>
  <si>
    <t xml:space="preserve">Superávit/(Déficit) Acumulado</t>
  </si>
  <si>
    <t xml:space="preserve">2023 reap apresenta tudo agregado no Acumulado</t>
  </si>
  <si>
    <t xml:space="preserve">Total Patrimônio Líquido</t>
  </si>
  <si>
    <t xml:space="preserve">Soma das linhas do PL</t>
  </si>
  <si>
    <t xml:space="preserve">TOTAL DO PASSIVO + PATRIMÔNIO LÍQUIDO</t>
  </si>
  <si>
    <t xml:space="preserve">Exigível + PL</t>
  </si>
  <si>
    <t xml:space="preserve">VALIDAÇÃO: Ativo − (Passivo + PL)</t>
  </si>
  <si>
    <t xml:space="preserve">Deve ser zero nos 3 anos</t>
  </si>
  <si>
    <t xml:space="preserve">Indicadores derivados</t>
  </si>
  <si>
    <t xml:space="preserve">Capital Circulante Líquido (CCL)</t>
  </si>
  <si>
    <t xml:space="preserve">Ativo Circ − Passivo Circ</t>
  </si>
  <si>
    <t xml:space="preserve">Passivo a Descoberto (Patrimônio Líquido negativo)</t>
  </si>
  <si>
    <t xml:space="preserve">Igual ao Total do PL</t>
  </si>
  <si>
    <t xml:space="preserve">FLUMINENSE FOOTBALL CLUB — Demonstração do Resultado (DRE)</t>
  </si>
  <si>
    <t xml:space="preserve">Em milhares de Reais  |  Estrutura DRE conforme PDF 2025  |  2022 (R1) parcialmente comparável — antes ITG 2003 (R2)</t>
  </si>
  <si>
    <t xml:space="preserve">Receita operacional líquida</t>
  </si>
  <si>
    <t xml:space="preserve">Bruta menos impostos e direito de arena</t>
  </si>
  <si>
    <t xml:space="preserve">CUSTOS E DESPESAS OPERACIONAIS</t>
  </si>
  <si>
    <t xml:space="preserve">Remunerações, salários, encargos e benefícios</t>
  </si>
  <si>
    <t xml:space="preserve">Salto de 41% em 2025 — prêmios FIFA e novas contratações</t>
  </si>
  <si>
    <t xml:space="preserve">Transporte e outros gastos com jogos e competições</t>
  </si>
  <si>
    <t xml:space="preserve">Serviços de terceiros, incluindo comissões sobre vendas</t>
  </si>
  <si>
    <t xml:space="preserve">Comissões cessão de atletas mais que dobraram</t>
  </si>
  <si>
    <t xml:space="preserve">Reversão (constituição) de provisão para contingências</t>
  </si>
  <si>
    <t xml:space="preserve">Amortizações e baixas dos direitos de jogadores</t>
  </si>
  <si>
    <t xml:space="preserve">Depreciações/amortizações de imobilizado e outros intangíveis</t>
  </si>
  <si>
    <t xml:space="preserve">Tributos incidentes sobre operações de câmbio</t>
  </si>
  <si>
    <t xml:space="preserve">Reflete tributação sobre receita FIFA Mundial e cessões em moeda estrangeira</t>
  </si>
  <si>
    <t xml:space="preserve">Resultado de Equivalência Patrimonial</t>
  </si>
  <si>
    <t xml:space="preserve">Fla-Flu Serviços S.A. (35% — Maracanã) virou positiva em 2025</t>
  </si>
  <si>
    <t xml:space="preserve">Gastos gerais</t>
  </si>
  <si>
    <t xml:space="preserve">Total dos custos e despesas operacionais</t>
  </si>
  <si>
    <t xml:space="preserve">OUTRAS RECEITAS E DESPESAS OPERACIONAIS</t>
  </si>
  <si>
    <t xml:space="preserve">Cessão de direitos econômicos de atletas e mecanismo de solidariedade</t>
  </si>
  <si>
    <t xml:space="preserve">2025: Kauã Elias R$ 78,7M + Jhon Arias R$ 60,5M + Isaque R$ 55,2M = 83% do total</t>
  </si>
  <si>
    <t xml:space="preserve">Custo com registro de cessão de atletas e baixa de intangível</t>
  </si>
  <si>
    <t xml:space="preserve">Total outras receitas/despesas operacionais</t>
  </si>
  <si>
    <t xml:space="preserve">SUPERÁVIT ANTES DOS RESULTADOS FINANCEIROS (EBIT)</t>
  </si>
  <si>
    <t xml:space="preserve">Receita líquida + Custos/Despesas + Outras</t>
  </si>
  <si>
    <t xml:space="preserve">RESULTADO FINANCEIRO</t>
  </si>
  <si>
    <t xml:space="preserve">Receitas financeiras</t>
  </si>
  <si>
    <t xml:space="preserve">2025: descontos PGFN R$ 93,8M (vs R$ 3M em 2024) — efeito único</t>
  </si>
  <si>
    <t xml:space="preserve">Despesas financeiras</t>
  </si>
  <si>
    <t xml:space="preserve">2025: juros parcelamento R$ 21,9M + juros financiamento R$ 105,6M</t>
  </si>
  <si>
    <t xml:space="preserve">Resultado financeiro líquido</t>
  </si>
  <si>
    <t xml:space="preserve">SUPERÁVIT/(DÉFICIT) DO EXERCÍCIO</t>
  </si>
  <si>
    <t xml:space="preserve">EBIT + Resultado financeiro líquido</t>
  </si>
  <si>
    <t xml:space="preserve">VALIDAÇÃO: Superávit DRE vs. BP</t>
  </si>
  <si>
    <t xml:space="preserve">Deve ser zero (ou próximo de zero por arredondamento)</t>
  </si>
  <si>
    <t xml:space="preserve">INDICADORES DA DRE</t>
  </si>
  <si>
    <t xml:space="preserve">EBITDA reportado</t>
  </si>
  <si>
    <t xml:space="preserve">EBIT + Depreciações + Amortizações jogadores + Amortizações intangíveis</t>
  </si>
  <si>
    <t xml:space="preserve">EBITDA reportado (do Relatório de Gestão)</t>
  </si>
  <si>
    <t xml:space="preserve">Conferir contra cálculo da linha acima</t>
  </si>
  <si>
    <t xml:space="preserve">Margem EBITDA (% sobre Receita Líquida)</t>
  </si>
  <si>
    <t xml:space="preserve">Margem Operacional (% sobre Receita Líquida)</t>
  </si>
  <si>
    <t xml:space="preserve">Margem Líquida (% sobre Receita Líquida)</t>
  </si>
  <si>
    <t xml:space="preserve">FLUMINENSE FOOTBALL CLUB — Receita Bruta Detalhada por Categoria</t>
  </si>
  <si>
    <t xml:space="preserve">Em milhares de Reais  |  Receita Total SEM DEDUÇÕES conforme relatório de gestão  |  Decomposição com foco em separar recorrente de extraordinário</t>
  </si>
  <si>
    <t xml:space="preserve">Categoria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</si>
  <si>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</si>
  <si>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</si>
  <si>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</si>
  <si>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</si>
  <si>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</si>
  <si>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</si>
  <si>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</si>
  <si>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RECEITAS POR CATEGORIA</t>
  </si>
  <si>
    <t xml:space="preserve">Cessão de Direitos Econômicos de Atletas + Mec. Solidariedade</t>
  </si>
  <si>
    <t xml:space="preserve">2024 e 2025 muito altos — concentração em 2-3 atletas/ano gera risco</t>
  </si>
  <si>
    <t xml:space="preserve">Direitos de Transmissão</t>
  </si>
  <si>
    <t xml:space="preserve">2025: +65% vs 2024 — novo regime de centralização (LFU/LFF) + premiação mata-mata reconhecida em transmissão</t>
  </si>
  <si>
    <t xml:space="preserve">Premiação por Performance</t>
  </si>
  <si>
    <t xml:space="preserve">2025: R$ 331,12M brutos da FIFA Mundial — não recorrente | 2023 Libertadores R$ 188M</t>
  </si>
  <si>
    <t xml:space="preserve">Patrocínios e Licenciamento</t>
  </si>
  <si>
    <t xml:space="preserve">2025: salto com contrato PUMA + Superbet + ampliação rede lojas (35 lojas)</t>
  </si>
  <si>
    <t xml:space="preserve">Sócio Futebol</t>
  </si>
  <si>
    <t xml:space="preserve">2025: ligeira queda mesmo com 8 mil sócios — possível churn pós-pandemia/queda em campo</t>
  </si>
  <si>
    <t xml:space="preserve">Bilheteria e Outras Receitas em Jogos</t>
  </si>
  <si>
    <t xml:space="preserve">2025: público médio 28.652 (queda vs 34.501 em 2024) mas mais jogos importantes</t>
  </si>
  <si>
    <t xml:space="preserve">Clube Social, Esportes Olímpicos e Outras</t>
  </si>
  <si>
    <t xml:space="preserve">2024 muito alto vs 2025 — provável receita não recorrente no ano anterior (Recopa?)</t>
  </si>
  <si>
    <t xml:space="preserve">TOTAL RECEITA BRUTA (sem deduções)</t>
  </si>
  <si>
    <t xml:space="preserve">Match com relatório de gestão: 333.633 (2021), 347.243 (2022), 474.781 (2023), 684.176 (2024), 1.022.443 (2025)</t>
  </si>
  <si>
    <t xml:space="preserve">DECOMPOSIÇÃO PARA ANÁLISE DE RECORRÊNCIA</t>
  </si>
  <si>
    <t xml:space="preserve">Premiação FIFA Mundial 2025 (não recorrente, estimado)</t>
  </si>
  <si>
    <t xml:space="preserve">Fonte: globoesporte 11/07/2025 — R$ 104,56M fase grupos + R$ 226,56M mata-mata; pago entre set-out/2025</t>
  </si>
  <si>
    <t xml:space="preserve">Premiação recorrente (Brasileiro + Carioca + Copa BR + Sul-Am)</t>
  </si>
  <si>
    <t xml:space="preserve">Premiação por Performance MENOS FIFA Mundial</t>
  </si>
  <si>
    <t xml:space="preserve">RECEITA RECORRENTE — SEM TRANSFERÊNCIAS DE JOGADORES</t>
  </si>
  <si>
    <t xml:space="preserve">Total bruto MENOS Cessão de Atletas (linha 6)</t>
  </si>
  <si>
    <t xml:space="preserve">Receita recorrente reportada (relatório de gestão)</t>
  </si>
  <si>
    <t xml:space="preserve">Conferência contra relatório PDF 2025</t>
  </si>
  <si>
    <t xml:space="preserve">Diferença (calc − reportado)</t>
  </si>
  <si>
    <t xml:space="preserve">Diferenças de R$ 1-38 em 2022/2023 são apenas arredondamento do PDF. 2024 e 2025 fecham na unidade.</t>
  </si>
  <si>
    <t xml:space="preserve">RECEITA OPERACIONAL PURA (Nossa metodologia: Total − Cessão − FIFA Mundial)</t>
  </si>
  <si>
    <t xml:space="preserve">Total bruto MENOS Cessão MENOS Premiação Mundial</t>
  </si>
  <si>
    <t xml:space="preserve">Receita Recorrente PURA (Clube: Total − Cessão − TODA Premiação)</t>
  </si>
  <si>
    <t xml:space="preserve">O clube subtrai 100% da Premiação por Performance (incluindo Libertadores 2023). Nossa métrica é mais limpa: só remove FIFA Mundial 2025 (não recorrente verdadeiro), mantendo premiação recorrente do calendário</t>
  </si>
  <si>
    <t xml:space="preserve">Diferença metodológica (calc − clube)</t>
  </si>
  <si>
    <t xml:space="preserve">Em 2025 = 32,785 ≈ Premiação recorrente do calendário (Brasileiro + Carioca + Copa BR + Sul-Am). Confirma que clube despreza essa premiação no "recorrente"</t>
  </si>
  <si>
    <t xml:space="preserve">CRESCIMENTO ANUAL</t>
  </si>
  <si>
    <t xml:space="preserve">Crescimento Receita Total (% YoY)</t>
  </si>
  <si>
    <t xml:space="preserve">Crescimento Receita Recorrente Pura (% YoY)</t>
  </si>
  <si>
    <t xml:space="preserve">Métrica mais limpa para projeção</t>
  </si>
  <si>
    <t xml:space="preserve">MIX DE RECEITA 2025 (% sobre Total Bruto)</t>
  </si>
  <si>
    <t xml:space="preserve">% Cessão de Atletas</t>
  </si>
  <si>
    <t xml:space="preserve">% Direitos de Transmissão</t>
  </si>
  <si>
    <t xml:space="preserve">% Premiação por Performance</t>
  </si>
  <si>
    <t xml:space="preserve">% Patrocínios e Licenciamento</t>
  </si>
  <si>
    <t xml:space="preserve">% Sócio Futebol</t>
  </si>
  <si>
    <t xml:space="preserve">% Bilheteria</t>
  </si>
  <si>
    <t xml:space="preserve">% Clube Social/Olímpicos/Outras</t>
  </si>
  <si>
    <t xml:space="preserve">FLUMINENSE FOOTBALL CLUB — Demonstração dos Fluxos de Caixa (DFC)</t>
  </si>
  <si>
    <t xml:space="preserve">Em milhares de Reais  |  Método indireto conforme PDFs  |  2023 reap + 2024 + 2025</t>
  </si>
  <si>
    <t xml:space="preserve">2023 reap</t>
  </si>
  <si>
    <t xml:space="preserve">FLUXO DE CAIXA DAS ATIVIDADES OPERACIONAIS</t>
  </si>
  <si>
    <t xml:space="preserve">Superávit do exercício</t>
  </si>
  <si>
    <t xml:space="preserve">Itens que não afetam o caixa:</t>
  </si>
  <si>
    <t xml:space="preserve">Amortização dos direitos econômicos de atletas</t>
  </si>
  <si>
    <t xml:space="preserve">Salto refletindo amortização das 11 contratações de 2025</t>
  </si>
  <si>
    <t xml:space="preserve">Depreciação e amortização de outros ativos</t>
  </si>
  <si>
    <t xml:space="preserve">Constituição (reversão) da provisão para contingência</t>
  </si>
  <si>
    <t xml:space="preserve">Auditor 2025 aponta déficit de R$ 34.176 adicional</t>
  </si>
  <si>
    <t xml:space="preserve">Despesas financeiras de juros de empréstimos</t>
  </si>
  <si>
    <t xml:space="preserve">Despesas financeiras de juros de impostos a pagar</t>
  </si>
  <si>
    <t xml:space="preserve">Atualização Selic dos parcelamentos tributários</t>
  </si>
  <si>
    <t xml:space="preserve">Descontos obtidos</t>
  </si>
  <si>
    <t xml:space="preserve">2025: desconto PGFN R$ 89.766 da nova transação de nov/2025</t>
  </si>
  <si>
    <t xml:space="preserve">Amortização da receita diferida/adiantamentos</t>
  </si>
  <si>
    <t xml:space="preserve">Ajustes da adoção da ITG 2003 (R2)</t>
  </si>
  <si>
    <t xml:space="preserve">Baixa de "Atletas em Formação" contra patrimônio</t>
  </si>
  <si>
    <t xml:space="preserve">Ganho com transferências de atletas, líquido do custo</t>
  </si>
  <si>
    <t xml:space="preserve">Equivalência patrimonial</t>
  </si>
  <si>
    <t xml:space="preserve">Lucro Fla-Flu Serviços S.A.</t>
  </si>
  <si>
    <t xml:space="preserve">Superávit ajustado</t>
  </si>
  <si>
    <t xml:space="preserve">VARIAÇÃO NAS CONTAS DE CAPITAL DE GIRO</t>
  </si>
  <si>
    <t xml:space="preserve">2025: realização da LFU/LFF</t>
  </si>
  <si>
    <t xml:space="preserve">Reflete reconhecimento das vendas Kauã/Arias/Isaque com parcelamento</t>
  </si>
  <si>
    <t xml:space="preserve">Fornecedores</t>
  </si>
  <si>
    <t xml:space="preserve">Contas a pagar transferência de jogadores</t>
  </si>
  <si>
    <t xml:space="preserve">Parcelamento das 11 contratações 2025</t>
  </si>
  <si>
    <t xml:space="preserve">Direito de imagem a pagar</t>
  </si>
  <si>
    <t xml:space="preserve">Impostos e contribuições a pagar</t>
  </si>
  <si>
    <t xml:space="preserve">Obrigações trabalhistas e sociais</t>
  </si>
  <si>
    <t xml:space="preserve">Contas a pagar acordos judiciais</t>
  </si>
  <si>
    <t xml:space="preserve">2025: leilões TRT com deságio 30%</t>
  </si>
  <si>
    <t xml:space="preserve">Provisões para contingências</t>
  </si>
  <si>
    <t xml:space="preserve">Juros pagos referente a empréstimos</t>
  </si>
  <si>
    <t xml:space="preserve">Juros pagos referente a impostos</t>
  </si>
  <si>
    <t xml:space="preserve">Caixa líquido das atividades operacionais</t>
  </si>
  <si>
    <t xml:space="preserve">FLUXO DE CAIXA DAS ATIVIDADES DE INVESTIMENTOS</t>
  </si>
  <si>
    <t xml:space="preserve">Investimento em direitos econômicos de atletas profissionais</t>
  </si>
  <si>
    <t xml:space="preserve">CONTRADIÇÃO Nota 8 vs DFC: Nota mostra R$ 215.151 de adições; diferença R$ 102.064 = pagamentos de contraprestações variáveis e parcelas antigas</t>
  </si>
  <si>
    <t xml:space="preserve">Baixa intangível (alienação de jogadores)</t>
  </si>
  <si>
    <t xml:space="preserve">Investimento em outros intangíveis</t>
  </si>
  <si>
    <t xml:space="preserve">2025: recompra parcial FFU (R$ 110.427) — base da ressalva do auditor</t>
  </si>
  <si>
    <t xml:space="preserve">Compras de imobilizado</t>
  </si>
  <si>
    <t xml:space="preserve">Caixa líquido aplicado nas atividades de investimento</t>
  </si>
  <si>
    <t xml:space="preserve">FLUXO DE CAIXA DAS ATIVIDADES DE FINANCIAMENTO</t>
  </si>
  <si>
    <t xml:space="preserve">Obtenção de empréstimos</t>
  </si>
  <si>
    <t xml:space="preserve">Pagamento de empréstimos</t>
  </si>
  <si>
    <t xml:space="preserve">Tributos parcelados (novos)</t>
  </si>
  <si>
    <t xml:space="preserve">2025: nova transação PGFN/RFB + parcelamento FGTS</t>
  </si>
  <si>
    <t xml:space="preserve">Pagamento de impostos parcelados</t>
  </si>
  <si>
    <t xml:space="preserve">Caixa líquido das atividades de financiamento</t>
  </si>
  <si>
    <t xml:space="preserve">Aumento/(Redução) no caixa e equivalentes</t>
  </si>
  <si>
    <t xml:space="preserve">Caixa e equivalentes no início do exercício</t>
  </si>
  <si>
    <t xml:space="preserve">2023 reap aprox.</t>
  </si>
  <si>
    <t xml:space="preserve">Caixa e equivalentes no final do exercício</t>
  </si>
  <si>
    <t xml:space="preserve">Início + Variação</t>
  </si>
  <si>
    <t xml:space="preserve">VALIDAÇÃO: Caixa final DFC vs BP</t>
  </si>
  <si>
    <t xml:space="preserve">Deve ser zero</t>
  </si>
  <si>
    <t xml:space="preserve">INDICADORES DE QUALIDADE DO FLUXO</t>
  </si>
  <si>
    <t xml:space="preserve">Geração de caixa operacional antes do giro</t>
  </si>
  <si>
    <t xml:space="preserve">Quanto a operação gera antes de movimentar capital de giro</t>
  </si>
  <si>
    <t xml:space="preserve">Dependência de cessão de atletas (saídas líquidas em jogadores)</t>
  </si>
  <si>
    <t xml:space="preserve">Investimento − Baixa em direitos econômicos</t>
  </si>
  <si>
    <t xml:space="preserve">Caixa queimado em parcelamentos tributários</t>
  </si>
  <si>
    <t xml:space="preserve">(Tributos novos) + (Pagamentos parcelados)</t>
  </si>
  <si>
    <t xml:space="preserve">FLUMINENSE FOOTBALL CLUB — Análise Operacional Pura (Recorrente)</t>
  </si>
  <si>
    <t xml:space="preserve">TESE CENTRAL: descontar eventos não recorrentes (FIFA Mundial 2025, descontos PGFN, cessão de atletas) revela que a operação dia-a-dia do Fluminense permanece estruturalmente deficitária</t>
  </si>
  <si>
    <t xml:space="preserve">PONTO DE PARTIDA — EBITDA REPORTADO</t>
  </si>
  <si>
    <t xml:space="preserve">EBITDA reportado (calculado a partir da DRE)</t>
  </si>
  <si>
    <t xml:space="preserve">Vem da aba DRE: EBIT + Depreciação + Amortização atletas</t>
  </si>
  <si>
    <t xml:space="preserve">EBITDA divulgado pela gestão</t>
  </si>
  <si>
    <t xml:space="preserve">Conforme relatório de gestão PDF — pode divergir do calculado por classificações</t>
  </si>
  <si>
    <t xml:space="preserve">DESCONTAR EVENTOS NÃO RECORRENTES DE RECEITA</t>
  </si>
  <si>
    <t xml:space="preserve">(−) Cessão de direitos econômicos (volátil ano a ano)</t>
  </si>
  <si>
    <t xml:space="preserve">Conceitualmente uma "venda de ativo" não recorrente. Em 2024: R$ 268M (Wolverhampton/André). Em 2025: R$ 233M (3 atletas).</t>
  </si>
  <si>
    <t xml:space="preserve">(+) Custo de cessão (volta para neutralizar)</t>
  </si>
  <si>
    <t xml:space="preserve">Sinal invertido (era negativo na DRE)</t>
  </si>
  <si>
    <t xml:space="preserve">(−) Premiação FIFA Mundial 2025 (não recorrente)</t>
  </si>
  <si>
    <t xml:space="preserve">R$ 104,56M fase grupos + R$ 226,56M mata-mata; pago set-out/2025. Sujeito a 30-35% de retenção americana via modelo ECI</t>
  </si>
  <si>
    <t xml:space="preserve">(−) Premiação Libertadores 2023 (não recorrente nesse exercício)</t>
  </si>
  <si>
    <t xml:space="preserve">OFICIAL CONMEBOL: USD 27,15M total (USD 3M grupos + USD 0,9M 3 vitórias + USD 1,25M oitavas + USD 1,7M quartas + USD 2,3M semi + USD 18M campeão). Conversão à taxa média 2023 (USD/BRL ~5,01) = R$ 136M. Fonte: ge.globo.com</t>
  </si>
  <si>
    <t xml:space="preserve">(−) Recopa 2024 (não recorrente)</t>
  </si>
  <si>
    <t xml:space="preserve">OFICIAL CONMEBOL: USD 1,8M premiação campeão (USD 0,9M vice). Conversão à taxa média 2024 (~R$ 4,94) = R$ 8,9M. Fonte: ge.globo.com</t>
  </si>
  <si>
    <t xml:space="preserve">Total descontos de receita não recorrente</t>
  </si>
  <si>
    <t xml:space="preserve">Soma dos descontos acima</t>
  </si>
  <si>
    <t xml:space="preserve">DESCONTAR EVENTOS NÃO RECORRENTES DO RESULTADO FINANCEIRO</t>
  </si>
  <si>
    <t xml:space="preserve">(−) Descontos PGFN não recorrentes (estavam em Receitas Financeiras)</t>
  </si>
  <si>
    <t xml:space="preserve">2025: nova transação PGFN nov/2025 com desconto R$ 89.766. Esses descontos não voltam todo ano.</t>
  </si>
  <si>
    <t xml:space="preserve">Esses descontos NÃO entram no EBITDA (estão abaixo da linha) — mas SE entrassem, seriam não recorrentes</t>
  </si>
  <si>
    <t xml:space="preserve">Item informativo — não soma no EBITDA recorrente</t>
  </si>
  <si>
    <t xml:space="preserve">AJUSTES PARA EVENTOS NÃO RECORRENTES DE CUSTO</t>
  </si>
  <si>
    <t xml:space="preserve">(+) Prêmios e gratificações extraordinárias FIFA Mundial</t>
  </si>
  <si>
    <t xml:space="preserve">Estimativa: dos R$ 98.894 totais de prêmios em 2025 (Nota 18), ~R$ 82M atribuíveis ao Mundial — diferença vs R$ 16,9M em 2024</t>
  </si>
  <si>
    <t xml:space="preserve">(+) Comissões extras na venda de atletas (não recorrente)</t>
  </si>
  <si>
    <t xml:space="preserve">Diferença das comissões de vendas: R$ 52,1M (2025) vs R$ 23,2M (2024); o excesso é proporcional ao volume vendido</t>
  </si>
  <si>
    <t xml:space="preserve">Total acréscimos de custo não recorrente</t>
  </si>
  <si>
    <t xml:space="preserve">EBITDA RECORRENTE PURO</t>
  </si>
  <si>
    <t xml:space="preserve">EBITDA reportado − Receitas não rec + Custos não rec</t>
  </si>
  <si>
    <t xml:space="preserve">Receita operacional líquida recorrente</t>
  </si>
  <si>
    <t xml:space="preserve">Receita líquida − Cessão líquida − FIFA − Premiação extra</t>
  </si>
  <si>
    <t xml:space="preserve">Margem EBITDA Recorrente</t>
  </si>
  <si>
    <t xml:space="preserve">CONCLUSÃO ANALÍTICA</t>
  </si>
  <si>
    <t xml:space="preserve">EBITDA reportado pela gestão (de novo)</t>
  </si>
  <si>
    <t xml:space="preserve">EBITDA Recorrente Puro (linha acima)</t>
  </si>
  <si>
    <t xml:space="preserve">Repetido para comparação direta</t>
  </si>
  <si>
    <t xml:space="preserve">GAP: % do EBITDA divulgado que vem de eventos não recorrentes</t>
  </si>
  <si>
    <t xml:space="preserve">Quanto maior, mais frágil é a operação dia-a-dia</t>
  </si>
  <si>
    <t xml:space="preserve">CONTEXTO: A OPERAÇÃO RECORRENTE PRECISA COBRIR</t>
  </si>
  <si>
    <t xml:space="preserve">Custo recorrente com folha + benefícios (estimado)</t>
  </si>
  <si>
    <t xml:space="preserve">2025: removidos os ~R$ 82M de prêmios FIFA extras</t>
  </si>
  <si>
    <t xml:space="preserve">Custo recorrente com viagens e jogos</t>
  </si>
  <si>
    <t xml:space="preserve">Item integralmente recorrente</t>
  </si>
  <si>
    <t xml:space="preserve">Comissões/serviços terceiros recorrentes</t>
  </si>
  <si>
    <t xml:space="preserve">2025: removidas as comissões extras de vendas (R$ 28,9M)</t>
  </si>
  <si>
    <t xml:space="preserve">Total custos recorrentes mínimos</t>
  </si>
  <si>
    <t xml:space="preserve">Custos que sobrevivem mesmo num "ano sem eventos"</t>
  </si>
  <si>
    <t xml:space="preserve">Receita operacional líquida recorrente (de novo)</t>
  </si>
  <si>
    <t xml:space="preserve">Resultado operacional recorrente — antes de cessão e premiações extras</t>
  </si>
  <si>
    <t xml:space="preserve">É o "lucro do dia-a-dia" antes de qualquer evento extraordinário</t>
  </si>
  <si>
    <t xml:space="preserve">FLUMINENSE FOOTBALL CLUB — Painel de Indicadores</t>
  </si>
  <si>
    <t xml:space="preserve">Indicadores derivados das DFs. Em vermelho: indicadores que sinalizam vulnerabilidade.</t>
  </si>
  <si>
    <t xml:space="preserve">Análise</t>
  </si>
  <si>
    <t xml:space="preserve">LIQUIDEZ E SOLVÊNCIA</t>
  </si>
  <si>
    <t xml:space="preserve">Liquidez Corrente (AC / PC)</t>
  </si>
  <si>
    <t xml:space="preserve">Bom: &gt;1. Crítico abaixo de 0,5. Flu opera estruturalmente abaixo de 0,5</t>
  </si>
  <si>
    <t xml:space="preserve">Capital Circulante Líquido (R$ mil)</t>
  </si>
  <si>
    <t xml:space="preserve">Negativo significa que dívidas de curto prazo &gt; ativos de curto prazo. Auditor cita R$ -309M em 2025</t>
  </si>
  <si>
    <t xml:space="preserve">Passivo a Descoberto (PL negativo, R$ mil)</t>
  </si>
  <si>
    <t xml:space="preserve">Redução de R$ 233M (2024) para R$ 182M (2025) — melhora estrutural</t>
  </si>
  <si>
    <t xml:space="preserve">ALAVANCAGEM</t>
  </si>
  <si>
    <t xml:space="preserve">Dívida Total / Receita Líquida</t>
  </si>
  <si>
    <t xml:space="preserve">Útil para comparar com tese do relatório de gestão (receitas cresceram 285%, dívida só 20%)</t>
  </si>
  <si>
    <t xml:space="preserve">Dívida Total / EBITDA reportado</t>
  </si>
  <si>
    <t xml:space="preserve">Acima de 5x é alavancagem crítica. Flu opera entre 5x e 12x</t>
  </si>
  <si>
    <t xml:space="preserve">Dívida Total / EBITDA Recorrente Puro</t>
  </si>
  <si>
    <t xml:space="preserve">N/A</t>
  </si>
  <si>
    <t xml:space="preserve">Como o EBITDA recorrente é negativo, o indicador é negativo (pior interpretação: dívida não tem como ser amortizada com a operação)</t>
  </si>
  <si>
    <t xml:space="preserve">Tributos parcelados / Dívida Total</t>
  </si>
  <si>
    <t xml:space="preserve">Acima de 45% confirma natureza fiscal da dívida (sujeita à Selic)</t>
  </si>
  <si>
    <t xml:space="preserve">DEPENDÊNCIA DE EVENTOS NÃO RECORRENTES</t>
  </si>
  <si>
    <t xml:space="preserve">Receita de Cessão / Receita Total Bruta</t>
  </si>
  <si>
    <t xml:space="preserve">Acima de 25% sinaliza dependência estrutural de venda de atletas. 2024 (LFU?): 39%</t>
  </si>
  <si>
    <t xml:space="preserve">Receita de Premiação / Receita Total Bruta</t>
  </si>
  <si>
    <t xml:space="preserve">2025: 36% por causa do Mundial — fortemente concentrado em evento único</t>
  </si>
  <si>
    <t xml:space="preserve">Receita "do dia-a-dia" / Receita Total (sócio + bilheteria + patrocínio)</t>
  </si>
  <si>
    <t xml:space="preserve">Indica quão "dia-a-dia" é a operação. Quanto menor, mais dependente de eventos extraordinários</t>
  </si>
  <si>
    <t xml:space="preserve">CONCENTRAÇÃO DE VENDAS</t>
  </si>
  <si>
    <t xml:space="preserve">% do total de cessões dos 3 maiores ativos vendidos (2025)</t>
  </si>
  <si>
    <t xml:space="preserve">2024 = 76% Wolverhampton+Al Ahli+Zenit | 2025 = 83% Kauã Elias+Arias+Isaque</t>
  </si>
  <si>
    <t xml:space="preserve">RENTABILIDADE</t>
  </si>
  <si>
    <t xml:space="preserve">Margem EBITDA reportada</t>
  </si>
  <si>
    <t xml:space="preserve">Olhando isolado, parece saudável (~25%). Mas EBITDA reportado inclui R$ 233M de cessão e R$ 331M de FIFA em 2025</t>
  </si>
  <si>
    <t xml:space="preserve">Margem EBITDA Recorrente Pura</t>
  </si>
  <si>
    <t xml:space="preserve">Revelador: operação dia-a-dia tem margem operacional NEGATIVA estruturalmente</t>
  </si>
  <si>
    <t xml:space="preserve">Superávit do Exercício / Receita Líquida</t>
  </si>
  <si>
    <t xml:space="preserve">"Superávit pelo 4º ano consecutivo" (gestão) é tecnicamente verdade, mas marginal e dependente de cessões</t>
  </si>
  <si>
    <t xml:space="preserve">FLUXO DE CAIXA QUALITATIVO</t>
  </si>
  <si>
    <t xml:space="preserve">Caixa final / Compromissos circulantes (cobertura)</t>
  </si>
  <si>
    <t xml:space="preserve">R$ 34M de caixa cobre apenas 7% dos R$ 484M de passivo circulante (2025). Posição extremamente apertada</t>
  </si>
  <si>
    <t xml:space="preserve">Caixa final em meses de folha (R$ mil)</t>
  </si>
  <si>
    <t xml:space="preserve">Quantos meses de folha o caixa cobre. Em 2025: ~0,8 meses</t>
  </si>
  <si>
    <t xml:space="preserve">ATIVOS — VALORIZAÇÃO DE ELENCO</t>
  </si>
  <si>
    <t xml:space="preserve">Intangível (R$ mil) — direitos econômicos de atletas</t>
  </si>
  <si>
    <t xml:space="preserve">2025: R$ 307M (inclui R$ 110M de Direito de Uso de Marca — recompra FFU, ressalva auditor)</t>
  </si>
  <si>
    <t xml:space="preserve">Contas a pagar transferências (passivo total)</t>
  </si>
  <si>
    <t xml:space="preserve">2025: R$ 244M (vs R$ 99M em 2024) — explosão por causa das 11 contratações</t>
  </si>
  <si>
    <t xml:space="preserve">Investimento líquido em elenco (Intangível − Contas a pagar)</t>
  </si>
  <si>
    <t xml:space="preserve">Quanto efetivamente é patrimônio próprio. Negativo significa que o elenco custa mais do que vale no balanço</t>
  </si>
  <si>
    <t xml:space="preserve">FLUMINENSE FOOTBALL CLUB — Premissas dos Cenários 2026-2027</t>
  </si>
  <si>
    <t xml:space="preserve">Painel de controle editável. Todos os valores em AZUL podem ser alterados. O Modelo_Runway recalcula automaticamente.</t>
  </si>
  <si>
    <t xml:space="preserve">Pessimista</t>
  </si>
  <si>
    <t xml:space="preserve">Base</t>
  </si>
  <si>
    <t xml:space="preserve">Otimista</t>
  </si>
  <si>
    <t xml:space="preserve">Justificativa / Fonte</t>
  </si>
  <si>
    <t xml:space="preserve">CÂMBIO E MACRO</t>
  </si>
  <si>
    <t xml:space="preserve">USD/BRL médio 2026</t>
  </si>
  <si>
    <t xml:space="preserve">Faixa: 5,00-5,05 atual (mai/2026). Cenário pessimista assume depreciação para 5,20</t>
  </si>
  <si>
    <t xml:space="preserve">EUR/BRL médio 2026</t>
  </si>
  <si>
    <t xml:space="preserve">Faixa: 5,80-5,85 atual</t>
  </si>
  <si>
    <t xml:space="preserve">USD/BRL médio 2027</t>
  </si>
  <si>
    <t xml:space="preserve">Pessimista projeta depreciação contínua; otimista assume estabilidade</t>
  </si>
  <si>
    <t xml:space="preserve">EUR/BRL médio 2027</t>
  </si>
  <si>
    <t xml:space="preserve">SELIC média 2026</t>
  </si>
  <si>
    <t xml:space="preserve">Pessimista: BCB mantém juros altos | Base: queda gradual | Otimista: queda mais rápida</t>
  </si>
  <si>
    <t xml:space="preserve">Inflação IPCA 2026 (custos)</t>
  </si>
  <si>
    <t xml:space="preserve">RECEITAS RECORRENTES</t>
  </si>
  <si>
    <t xml:space="preserve">Crescimento receita recorrente 2026 (% YoY sobre 2025)</t>
  </si>
  <si>
    <t xml:space="preserve">Base: média histórica 2019-2025 ~6% real. Pessimista assume estagnação por queda em campo; Otimista assume aproveitamento da exposição da Copa do Mundo</t>
  </si>
  <si>
    <t xml:space="preserve">Crescimento receita recorrente 2027 (% YoY sobre 2026)</t>
  </si>
  <si>
    <t xml:space="preserve">PREMIAÇÃO CONMEBOL 2026</t>
  </si>
  <si>
    <t xml:space="preserve">Premiação CONMEBOL 2026 (R$ mil)</t>
  </si>
  <si>
    <t xml:space="preserve">Valores agregados — desagregados nas linhas abaixo. Câmbio USD/BRL 2026.</t>
  </si>
  <si>
    <t xml:space="preserve">Pessimista: Grupos Libertadores + final Sul-Americana (USD mi)</t>
  </si>
  <si>
    <t xml:space="preserve">USD 3M grupos + USD ~1M vitórias + USD 0,5M oitavas Sul-Am + USD 0,9M quartas + USD 1,55M semi + USD 2,1M vice-campeão Sul-Am ~ USD 8M</t>
  </si>
  <si>
    <t xml:space="preserve">Base: Oitavas Libertadores + algumas vitórias grupo (USD mi)</t>
  </si>
  <si>
    <t xml:space="preserve">USD 3M grupos + USD ~1,25M (4 vitórias) + USD 1,25M oitavas ~ USD 5,5M</t>
  </si>
  <si>
    <t xml:space="preserve">Otimista: Quartas Libertadores (USD mi)</t>
  </si>
  <si>
    <t xml:space="preserve">USD 3M grupos + USD 1,7M (5 vitórias) + USD 1,25M oitavas + USD 1,7M quartas ~ USD 7,65M</t>
  </si>
  <si>
    <t xml:space="preserve">Conversão para R$ mil</t>
  </si>
  <si>
    <t xml:space="preserve">USD mi × câmbio × 1000 = R$ mil</t>
  </si>
  <si>
    <t xml:space="preserve">PREMIAÇÃO 2027 (premissas conservadoras)</t>
  </si>
  <si>
    <t xml:space="preserve">Premiação CONMEBOL 2027 (USD mi)</t>
  </si>
  <si>
    <t xml:space="preserve">Sem certeza de classificação. Pessimista: grupos só | Base: oitavas Libertadores | Otimista: quartas</t>
  </si>
  <si>
    <t xml:space="preserve">Conversão CONMEBOL 2027 para R$ mil</t>
  </si>
  <si>
    <t xml:space="preserve">VENDA DE ATLETAS</t>
  </si>
  <si>
    <t xml:space="preserve">Receita de cessão 2026 (R$ mil)</t>
  </si>
  <si>
    <t xml:space="preserve">Pessimista: mercado fraco, sem ativos visados | Base: média histórica 4 anos | Otimista: premissa do clube no Relatório de Gestão</t>
  </si>
  <si>
    <t xml:space="preserve">Receita de cessão 2027 (R$ mil)</t>
  </si>
  <si>
    <t xml:space="preserve">Tendência de declínio sem renovação do elenco com ativos visados</t>
  </si>
  <si>
    <t xml:space="preserve">Custo de cessão / Receita de cessão (%)</t>
  </si>
  <si>
    <t xml:space="preserve">Histórico 2024-2025: 2-3% — comissões + baixa de intangível</t>
  </si>
  <si>
    <t xml:space="preserve">CAPEX EM ATLETAS (COMPROMETIMENTO)</t>
  </si>
  <si>
    <t xml:space="preserve">Capex comprometido 2026 (R$ mil) — VALOR DO CONTRATO</t>
  </si>
  <si>
    <t xml:space="preserve">5 contratações confirmadas R$ 158M (Castillo R$ 67,9M + Savarino R$ 22,6M + Arana R$ 20,1M + Millán R$ 25,1M + Jemmes R$ 22M)</t>
  </si>
  <si>
    <t xml:space="preserve">Capex comprometido 2027 (R$ mil)</t>
  </si>
  <si>
    <t xml:space="preserve">Janela menos previsível — projetar com base no ritmo histórico</t>
  </si>
  <si>
    <t xml:space="preserve">% do Capex que vira saída de caixa no mesmo ano</t>
  </si>
  <si>
    <t xml:space="preserve">Padrão Flu 2025: comprometeu R$ 215M mas pagou R$ 317M (50% do ano + parcelas antigas). Maior % otimista assume mais à vista</t>
  </si>
  <si>
    <t xml:space="preserve">Amortização de parcelas de Capex antigo em 2026 (R$ mil)</t>
  </si>
  <si>
    <t xml:space="preserve">Estimado a partir do BP 2025: R$ 244M de contas a pagar transferências (196M circ + 48M NC). Pessimista paga mais (acelera obrigações), Otimista renegocia</t>
  </si>
  <si>
    <t xml:space="preserve">Amortização de parcelas de Capex antigo em 2027 (R$ mil)</t>
  </si>
  <si>
    <t xml:space="preserve">AMORTIZAÇÃO DE INTANGÍVEL (DRE — não caixa)</t>
  </si>
  <si>
    <t xml:space="preserve">Amortização atletas 2026 (R$ mil)</t>
  </si>
  <si>
    <t xml:space="preserve">2025: R$ 84,2M com elenco menor. 2026 sobe pelo capex de R$ 158M+ adicionado. Pessimista assume amortização integral; Otimista assume vidas úteis mais longas (5 anos)</t>
  </si>
  <si>
    <t xml:space="preserve">Amortização atletas 2027 (R$ mil)</t>
  </si>
  <si>
    <t xml:space="preserve">CUSTOS RECORRENTES (CRESCIMENTO REAL)</t>
  </si>
  <si>
    <t xml:space="preserve">Crescimento folha + benefícios 2026 (% YoY)</t>
  </si>
  <si>
    <t xml:space="preserve">Pessimista: pressão sindical + 5 contratações sêniores | Base: alinhado à inflação | Otimista: redução real com saída de atletas caros</t>
  </si>
  <si>
    <t xml:space="preserve">Crescimento folha 2027 (% YoY)</t>
  </si>
  <si>
    <t xml:space="preserve">Crescimento outros custos operacionais (% YoY)</t>
  </si>
  <si>
    <t xml:space="preserve">IPCA + ajuste real</t>
  </si>
  <si>
    <t xml:space="preserve">DÍVIDA E FINANCEIRO</t>
  </si>
  <si>
    <t xml:space="preserve">Despesas financeiras como % da Dívida Total 2026</t>
  </si>
  <si>
    <t xml:space="preserve">Pessimista: Selic alta + juros parcelamentos | Base: Selic queda gradual | Otimista: renegociações de dívida com desconto</t>
  </si>
  <si>
    <t xml:space="preserve">Despesas financeiras 2027 (% Dívida)</t>
  </si>
  <si>
    <t xml:space="preserve">Receitas financeiras recorrentes 2026 (R$ mil)</t>
  </si>
  <si>
    <t xml:space="preserve">EXCLUI descontos PGFN. Apenas juros sobre aplicações e rendimentos rotineiros (média 2023-2024 sem descontos)</t>
  </si>
  <si>
    <t xml:space="preserve">Receitas financeiras recorrentes 2027 (R$ mil)</t>
  </si>
  <si>
    <t xml:space="preserve">Variação líquida em parcelamentos tributários 2026 (R$ mil)</t>
  </si>
  <si>
    <t xml:space="preserve">Diferença entre novos parcelamentos e pagamentos. Positivo = dívida fiscal CRESCE</t>
  </si>
  <si>
    <t xml:space="preserve">Variação líquida em parcelamentos tributários 2027 (R$ mil)</t>
  </si>
  <si>
    <t xml:space="preserve">TAXAÇÃO AMERICANA FIFA MUNDIAL (impacto 2026)</t>
  </si>
  <si>
    <t xml:space="preserve">Premiação mata-mata FIFA bruta (R$ mil)</t>
  </si>
  <si>
    <t xml:space="preserve">Valor reconhecido em 2025 mas com fluxo de caixa em 2026 sujeito a retenção dos EUA. Fonte: globoesporte 11/07/2025</t>
  </si>
  <si>
    <t xml:space="preserve">Taxa de retenção americana (% sobre mata-mata)</t>
  </si>
  <si>
    <t xml:space="preserve">Pessimista: tributação cheia (federal+estadual+dividendo) ~35% | Base: meio termo via modelo ECI ~30% | Otimista: defesa jurídica reduz para 21% federal</t>
  </si>
  <si>
    <t xml:space="preserve">Erosão estimada de caixa em 2026 (R$ mil)</t>
  </si>
  <si>
    <t xml:space="preserve">Já capturada em receitas em 2025, mas reduz o caixa esperado em 2026. Subtrai do caixa inicial do modelo</t>
  </si>
  <si>
    <t xml:space="preserve">FLUMINENSE FOOTBALL CLUB — Modelo Runway 2026-2027 (3 Cenários)</t>
  </si>
  <si>
    <t xml:space="preserve">Projeção integrada DRE → Geração de caixa → Posição final. Todas as premissas pluxam da aba Premissas_Runway.</t>
  </si>
  <si>
    <t xml:space="preserve">PESSIMISTA</t>
  </si>
  <si>
    <t xml:space="preserve">BASE</t>
  </si>
  <si>
    <t xml:space="preserve">OTIMISTA</t>
  </si>
  <si>
    <t xml:space="preserve">2026</t>
  </si>
  <si>
    <t xml:space="preserve">2027</t>
  </si>
  <si>
    <t xml:space="preserve">RECEITA OPERACIONAL</t>
  </si>
  <si>
    <t xml:space="preserve">Receita recorrente (sem cessão sem FIFA)</t>
  </si>
  <si>
    <t xml:space="preserve">Cresce sobre R$ 425M de 2025 (Receita Recorrente Pura reportada)</t>
  </si>
  <si>
    <t xml:space="preserve">Receita de cessão de atletas</t>
  </si>
  <si>
    <t xml:space="preserve">Vem direto da Premissas_Runway</t>
  </si>
  <si>
    <t xml:space="preserve">Premiação CONMEBOL</t>
  </si>
  <si>
    <t xml:space="preserve">Libertadores + Sul-Americana conforme cenário</t>
  </si>
  <si>
    <t xml:space="preserve">TOTAL RECEITA BRUTA</t>
  </si>
  <si>
    <t xml:space="preserve">(−) Deduções (impostos sobre receita ~26%)</t>
  </si>
  <si>
    <t xml:space="preserve">Média histórica 2024-2025: ~26% de deduções (dif entre bruta e líquida)</t>
  </si>
  <si>
    <t xml:space="preserve">Receita Operacional Líquida</t>
  </si>
  <si>
    <t xml:space="preserve">CUSTOS E DESPESAS</t>
  </si>
  <si>
    <t xml:space="preserve">Custo com folha + benefícios (recorrente)</t>
  </si>
  <si>
    <t xml:space="preserve">Cresce sobre R$ 440M (folha recorrente 2025, ex-prêmios FIFA)</t>
  </si>
  <si>
    <t xml:space="preserve">Custos com viagens, jogos e competições</t>
  </si>
  <si>
    <t xml:space="preserve">Cresce sobre R$ 88M de 2025</t>
  </si>
  <si>
    <t xml:space="preserve">Comissões e serviços terceiros (recorrente)</t>
  </si>
  <si>
    <t xml:space="preserve">Cresce sobre R$ 60M (recorrente 2025 ex-comissões extras de venda)</t>
  </si>
  <si>
    <t xml:space="preserve">Custo de cessão de atletas</t>
  </si>
  <si>
    <t xml:space="preserve">Receita cessão × % de custo</t>
  </si>
  <si>
    <t xml:space="preserve">Amortização de atletas (não caixa)</t>
  </si>
  <si>
    <t xml:space="preserve">Vem da Premissas_Runway</t>
  </si>
  <si>
    <t xml:space="preserve">Outros custos operacionais</t>
  </si>
  <si>
    <t xml:space="preserve">Cresce sobre R$ 60M de 2025 (depreciação + tributos câmbio + gastos gerais − resultado equiv. patrimonial)</t>
  </si>
  <si>
    <t xml:space="preserve">TOTAL CUSTOS E DESPESAS</t>
  </si>
  <si>
    <t xml:space="preserve">RESULTADO OPERACIONAL</t>
  </si>
  <si>
    <t xml:space="preserve">EBIT (Resultado Operacional)</t>
  </si>
  <si>
    <t xml:space="preserve">Receita Líquida + Custos</t>
  </si>
  <si>
    <t xml:space="preserve">(+) Amortização de atletas (volta — não caixa)</t>
  </si>
  <si>
    <t xml:space="preserve">Adiciona de volta a amortização para chegar a EBITDA</t>
  </si>
  <si>
    <t xml:space="preserve">(+) Depreciação outros (estimado)</t>
  </si>
  <si>
    <t xml:space="preserve">Estima R$ 7M/ano</t>
  </si>
  <si>
    <t xml:space="preserve">EBITDA</t>
  </si>
  <si>
    <t xml:space="preserve">Margem EBITDA (%)</t>
  </si>
  <si>
    <t xml:space="preserve">Receitas financeiras (recorrentes)</t>
  </si>
  <si>
    <t xml:space="preserve">% Dívida total estimada × dívida ano anterior</t>
  </si>
  <si>
    <t xml:space="preserve">EBIT + Resultado financeiro</t>
  </si>
  <si>
    <t xml:space="preserve">GERAÇÃO DE CAIXA OPERACIONAL</t>
  </si>
  <si>
    <t xml:space="preserve">Superávit ajustado (Superávit + amortização atletas + depreciação)</t>
  </si>
  <si>
    <t xml:space="preserve">Reverso de itens não-caixa</t>
  </si>
  <si>
    <t xml:space="preserve">Variação esperada em contas a receber (sinal positivo = redução)</t>
  </si>
  <si>
    <t xml:space="preserve">Premissa simplificada: -10% do volume de cessões (algumas vendas viram caixa, outras viram receivable)</t>
  </si>
  <si>
    <t xml:space="preserve">Variação esperada em contas a pagar (recorrente)</t>
  </si>
  <si>
    <t xml:space="preserve">+5% sobre custos recorrentes (Flu sempre amplia passivo operacional)</t>
  </si>
  <si>
    <t xml:space="preserve">Caixa operacional antes de Capex em jogadores</t>
  </si>
  <si>
    <t xml:space="preserve">FLUXO DE INVESTIMENTO EM ATLETAS</t>
  </si>
  <si>
    <t xml:space="preserve">Capex comprometido no ano (intangível)</t>
  </si>
  <si>
    <t xml:space="preserve">Da Premissas_Runway</t>
  </si>
  <si>
    <t xml:space="preserve">(−) % que vira saída de caixa no mesmo ano</t>
  </si>
  <si>
    <t xml:space="preserve">(−) Amortização de parcelas de capex antigo</t>
  </si>
  <si>
    <t xml:space="preserve">Caixa recebido de vendas de atletas (estimado 80% da receita de cessão)</t>
  </si>
  <si>
    <t xml:space="preserve">20% fica em conta a receber. Histórico Flu 2025: recebido ~70% do reconhecido</t>
  </si>
  <si>
    <t xml:space="preserve">Caixa líquido em atividades de investimento (atletas)</t>
  </si>
  <si>
    <t xml:space="preserve">FLUXO DE FINANCIAMENTO</t>
  </si>
  <si>
    <t xml:space="preserve">Variação líquida em parcelamentos tributários</t>
  </si>
  <si>
    <t xml:space="preserve">Empréstimos líquidos (movimentação simplificada)</t>
  </si>
  <si>
    <t xml:space="preserve">Assumido neutro (R$ 0): manutenção do nível atual</t>
  </si>
  <si>
    <t xml:space="preserve">Caixa de financiamento</t>
  </si>
  <si>
    <t xml:space="preserve">POSIÇÃO DE CAIXA</t>
  </si>
  <si>
    <t xml:space="preserve">Caixa inicial</t>
  </si>
  <si>
    <t xml:space="preserve">2026: parte do caixa final de 2025 (R$ 34,5M)</t>
  </si>
  <si>
    <t xml:space="preserve">(−) Erosão FIFA Mundial (taxação americana)</t>
  </si>
  <si>
    <t xml:space="preserve">Apenas em 2026 — vem da Premissas_Runway</t>
  </si>
  <si>
    <t xml:space="preserve">Variação total de caixa no ano</t>
  </si>
  <si>
    <t xml:space="preserve">Operacional + Investimento + Financiamento</t>
  </si>
  <si>
    <t xml:space="preserve">Caixa final</t>
  </si>
  <si>
    <t xml:space="preserve">VALIDAÇÃO DE SUSTENTABILIDADE</t>
  </si>
  <si>
    <t xml:space="preserve">Caixa final / Custo mensal recorrente (folha)</t>
  </si>
  <si>
    <t xml:space="preserve">Quantos meses de folha cobre? &lt;1 mês = crítico</t>
  </si>
  <si>
    <t xml:space="preserve">Dívida total estimada (inicial + variação)</t>
  </si>
  <si>
    <t xml:space="preserve">BP 2025 + variação parcelamentos</t>
  </si>
  <si>
    <t xml:space="preserve">Compromissos com transferências em aberto (estimado)</t>
  </si>
  <si>
    <t xml:space="preserve">Contas a pagar transferências 2025 = R$ 244M + novos parcelamentos − amortizações</t>
  </si>
  <si>
    <t xml:space="preserve">FLUMINENSE FOOTBALL CLUB — Resumo dos Cenários 2026-2027</t>
  </si>
  <si>
    <t xml:space="preserve">Visão consolidada lado-a-lado dos 3 cenários. Valores derivados do Modelo_Runway.</t>
  </si>
  <si>
    <t xml:space="preserve">RECEITAS</t>
  </si>
  <si>
    <t xml:space="preserve">Receita Total Bruta</t>
  </si>
  <si>
    <t xml:space="preserve">  Cessão de atletas (parte da receita bruta)</t>
  </si>
  <si>
    <t xml:space="preserve">  Premiação CONMEBOL (parte da receita bruta)</t>
  </si>
  <si>
    <t xml:space="preserve">RESULTADO</t>
  </si>
  <si>
    <t xml:space="preserve">Margem EBITDA</t>
  </si>
  <si>
    <t xml:space="preserve">EBIT</t>
  </si>
  <si>
    <t xml:space="preserve">Superávit/(Déficit) do Exercício</t>
  </si>
  <si>
    <t xml:space="preserve">CAIXA</t>
  </si>
  <si>
    <t xml:space="preserve">Caixa Operacional (antes capex atletas)</t>
  </si>
  <si>
    <t xml:space="preserve">Caixa Investimento em Atletas</t>
  </si>
  <si>
    <t xml:space="preserve">Caixa de Financiamento</t>
  </si>
  <si>
    <t xml:space="preserve">Erosão FIFA Mundial (impacto único 2026)</t>
  </si>
  <si>
    <t xml:space="preserve">Variação Total de Caixa</t>
  </si>
  <si>
    <t xml:space="preserve">Caixa Final</t>
  </si>
  <si>
    <t xml:space="preserve">SOLVÊNCIA E SUSTENTABILIDADE</t>
  </si>
  <si>
    <t xml:space="preserve">Caixa final em meses de folha</t>
  </si>
  <si>
    <t xml:space="preserve">Dívida total projetada</t>
  </si>
  <si>
    <t xml:space="preserve">Compromissos com transferências em aberto</t>
  </si>
  <si>
    <t xml:space="preserve">FLUMINENSE FOOTBALL CLUB — Caminho A: A Trajetória de Continuidade</t>
  </si>
  <si>
    <t xml:space="preserve">Tese: o Fluminense NÃO está em rota de recuperação judicial como o Botafogo. Está numa trajetória de "continuidade operacional viável" sustentada por (i) cessões pontuais de atletas, (ii) descontos fiscais não recorrentes, (iii) eventos extraordinários como o FIFA Mundial. A operação dia-a-dia permanece estruturalmente deficitária, mas o clube tem ativos e relacionamentos suficientes para manter o ciclo girando — desde que essas alavancas continuem disponíveis.</t>
  </si>
  <si>
    <t xml:space="preserve">Indicador</t>
  </si>
  <si>
    <t xml:space="preserve">Interpretação</t>
  </si>
  <si>
    <t xml:space="preserve">TRAJETÓRIA AGREGADA 2026-2027</t>
  </si>
  <si>
    <t xml:space="preserve">EBITDA agregado 2026+2027 (R$ mil)</t>
  </si>
  <si>
    <t xml:space="preserve">Soma do EBITDA dos dois anos. Negativo em todos os cenários — a operação dia-a-dia continua queimando dinheiro.</t>
  </si>
  <si>
    <t xml:space="preserve">Receita de cessão acumulada 2026+2027</t>
  </si>
  <si>
    <t xml:space="preserve">Quanto o clube precisa vender para sustentar o ciclo. Pessimista: R$ 130M | Otimista: R$ 398M</t>
  </si>
  <si>
    <t xml:space="preserve">Caixa final 2027 (posição absoluta)</t>
  </si>
  <si>
    <t xml:space="preserve">Negativo em todos cenários. Mesmo no otimista, sem novo ciclo de cessões em 2028, o caixa é insustentável.</t>
  </si>
  <si>
    <t xml:space="preserve">Variação acumulada de caixa 2026+2027</t>
  </si>
  <si>
    <t xml:space="preserve">Queima estrutural de caixa. Esse é o tamanho do problema a ser resolvido por refinanciamento, leilões TRT e novas cessões.</t>
  </si>
  <si>
    <t xml:space="preserve">CONDIÇÕES PARA O CAMINHO A SE MANTER VIÁVEL</t>
  </si>
  <si>
    <t xml:space="preserve">Necessidade de cessões adicionais 2028+ (estimado)</t>
  </si>
  <si>
    <t xml:space="preserve">Estimativa de 50% do déficit acumulado projetado de caixa, supondo que metade é refinanciada e metade vem de venda de ativos</t>
  </si>
  <si>
    <t xml:space="preserve">Premiação CONMEBOL agregada 2026+2027</t>
  </si>
  <si>
    <t xml:space="preserve">Receita de premiação que NÃO é controlável pelo Flu — depende de classificação esportiva</t>
  </si>
  <si>
    <t xml:space="preserve">Dívida fiscal projetada (final 2027)</t>
  </si>
  <si>
    <t xml:space="preserve">Cresce em todos cenários. Risco principal: nova transação tributária pode não ser tão generosa quanto a de 2025.</t>
  </si>
  <si>
    <t xml:space="preserve">GATILHOS DE STRESS</t>
  </si>
  <si>
    <t xml:space="preserve">Gatilho 1: Não classificação a Libertadores 2027</t>
  </si>
  <si>
    <t xml:space="preserve">Confirmado</t>
  </si>
  <si>
    <t xml:space="preserve">Provável</t>
  </si>
  <si>
    <t xml:space="preserve">Risco</t>
  </si>
  <si>
    <t xml:space="preserve">Pessimista já assume cenário de queda em 2026; Base e Otimista pressupõem reclassificação em 2026</t>
  </si>
  <si>
    <t xml:space="preserve">Gatilho 2: Aumento de juros do parcelamento PGFN</t>
  </si>
  <si>
    <t xml:space="preserve">Risco moderado</t>
  </si>
  <si>
    <t xml:space="preserve">Não esperado</t>
  </si>
  <si>
    <t xml:space="preserve">Recente transação PGFN nov/2025 deu R$ 90M de desconto. Selic alta + perda de elegibilidade pode anular esse benefício</t>
  </si>
  <si>
    <t xml:space="preserve">Gatilho 3: Erosão de receita do dia-a-dia (sócios, bilheteria)</t>
  </si>
  <si>
    <t xml:space="preserve">Em curso</t>
  </si>
  <si>
    <t xml:space="preserve">Estável</t>
  </si>
  <si>
    <t xml:space="preserve">Recuperação</t>
  </si>
  <si>
    <t xml:space="preserve">Sócio Futebol já caiu de R$ 70M (2024) para R$ 60M (2025). Bilheteria depende de campanhas esportivas</t>
  </si>
  <si>
    <t xml:space="preserve">Gatilho 4: Não recebimento integral da Premiação FIFA</t>
  </si>
  <si>
    <t xml:space="preserve">Provável (35%)</t>
  </si>
  <si>
    <t xml:space="preserve">Provável (30%)</t>
  </si>
  <si>
    <t xml:space="preserve">Negociado (21%)</t>
  </si>
  <si>
    <t xml:space="preserve">Já reconhecida em 2025 mas com fluxo em 2026 sujeito à retenção americana</t>
  </si>
  <si>
    <t xml:space="preserve">CONCLUSÃO DA TESE</t>
  </si>
  <si>
    <t xml:space="preserve">O Fluminense não está em rota de recuperação judicial como o Botafogo SAF em 2025. Mas também não está em rota de saúde financeira. A operação dia-a-dia (sem cessões de atletas, sem premiações extraordinárias, sem descontos fiscais únicos) queima cerca de R$ 250-440 milhões por ano. O clube se mantém viável porque consegue MANUFATURAR eventos extraordinários a cada ciclo: classificação para Libertadores e Mundiais que trazem premiação, venda de atletas que transforma 3-5 ativos por ano em centenas de milhões de reais, transações tributárias com a Receita Federal que reduzem o estoque de dívida. 
A pergunta-chave para os próximos 24 meses não é "o Fluminense vai quebrar?", mas sim "o Fluminense vai conseguir reproduzir o ciclo de eventos não recorrentes em 2027 e 2028?". Sem o motor de uma nova venda casada (Wolverhampton/Al Ahli/Brighton em 2024-2025) e sem um novo evento como o Mundial (que volta em 2029), o caixa fica criticamente apertado e a dependência de novas transações fiscais (como a de nov/2025) cresce.</t>
  </si>
  <si>
    <t xml:space="preserve">FLUMINENSE FOOTBALL CLUB — Caminho B: SAF (Proposta LZ Esports/Lazuli Partners)</t>
  </si>
  <si>
    <t xml:space="preserve">Modelagem da proposta em análise: venda de 65% do futebol para bloco de ~40 investidores, com 35% mantidos pela associação. Aporte total R$ 6,9 bilhões em 10 anos, focado em quitação de dívidas (R$ 870M), folha, atletas, e infraestrutura (CT e Xerém). Status: avaliação por comissões internas e externas; pendente de aprovação do Conselho Deliberativo e Assembleia Geral.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</si>
  <si>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</si>
  <si>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</si>
  <si>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</si>
  <si>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</si>
  <si>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</si>
  <si>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</si>
  <si>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</si>
  <si>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</si>
  <si>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Total 10 anos</t>
  </si>
  <si>
    <t xml:space="preserve">CRONOGRAMA DE APORTE LZ/LAZULI (R$ MIL)</t>
  </si>
  <si>
    <t xml:space="preserve">Aporte total anual (entrada de capital novo)</t>
  </si>
  <si>
    <t xml:space="preserve">Front-loaded para destravar dívidas. Total dos 10 anos = R$ 6,9 bi (premissa do deal LZ/Lazuli). Pessimista: aporte pode ser menor ou diluído</t>
  </si>
  <si>
    <t xml:space="preserve">ALOCAÇÃO DO APORTE — % POR DESTINO</t>
  </si>
  <si>
    <t xml:space="preserve">% para quitação/refinanciamento de dívida</t>
  </si>
  <si>
    <t xml:space="preserve">Anos 1-2 prioritários para destravar passivo. Total R$ 870M de dívida principal a ser equacionada (Fonte: proposta LZ)</t>
  </si>
  <si>
    <t xml:space="preserve">% para aquisição de atletas (capex elenco)</t>
  </si>
  <si>
    <t xml:space="preserve">Cresce após quitação inicial — objetivo de competitividade sustentada</t>
  </si>
  <si>
    <t xml:space="preserve">% para elevação da folha salarial</t>
  </si>
  <si>
    <t xml:space="preserve">Atrair e reter elenco — premissa de R$ 200-300M/ano em folha SAF após estabilização</t>
  </si>
  <si>
    <t xml:space="preserve">% para infraestrutura (CT Carlos Castilho + Xerém + estádio)</t>
  </si>
  <si>
    <t xml:space="preserve">Investimento capex em ativos fixos — agrega valor patrimonial à SAF</t>
  </si>
  <si>
    <t xml:space="preserve">% reserva operacional / contingências</t>
  </si>
  <si>
    <t xml:space="preserve">Buffer para imprevistos e capital de giro</t>
  </si>
  <si>
    <t xml:space="preserve">Soma das alocações (validação = 100%)</t>
  </si>
  <si>
    <t xml:space="preserve">VALORES ABSOLUTOS POR DESTINO (R$ MIL)</t>
  </si>
  <si>
    <t xml:space="preserve">Quitação/refinanciamento de dívida</t>
  </si>
  <si>
    <t xml:space="preserve">Aporte × % dívida</t>
  </si>
  <si>
    <t xml:space="preserve">Aquisição de atletas</t>
  </si>
  <si>
    <t xml:space="preserve">Aporte × % atletas</t>
  </si>
  <si>
    <t xml:space="preserve">Elevação da folha salarial</t>
  </si>
  <si>
    <t xml:space="preserve">Aporte × % folha</t>
  </si>
  <si>
    <t xml:space="preserve">Infraestrutura</t>
  </si>
  <si>
    <t xml:space="preserve">Aporte × % infra</t>
  </si>
  <si>
    <t xml:space="preserve">Reserva operacional</t>
  </si>
  <si>
    <t xml:space="preserve">Aporte × % reserva</t>
  </si>
  <si>
    <t xml:space="preserve">IMPACTO NA DÍVIDA TOTAL</t>
  </si>
  <si>
    <t xml:space="preserve">Dívida total ao início do ano</t>
  </si>
  <si>
    <t xml:space="preserve">Inicia com BP 2025 = R$ 1.043M</t>
  </si>
  <si>
    <t xml:space="preserve">(−) Pagamento via aporte SAF</t>
  </si>
  <si>
    <t xml:space="preserve">(+) Variação líquida de parcelamentos tributários (mantida)</t>
  </si>
  <si>
    <t xml:space="preserve">Selic continua corroendo — premissa: 50% menor que sem SAF por melhor gestão</t>
  </si>
  <si>
    <t xml:space="preserve">Dívida total ao fim do ano</t>
  </si>
  <si>
    <t xml:space="preserve">IMPACTO NO CAIXA E OPERAÇÃO</t>
  </si>
  <si>
    <t xml:space="preserve">Caixa operacional recorrente (cenário Base do Caminho A)</t>
  </si>
  <si>
    <t xml:space="preserve">Vem do Modelo_Runway — premissa: SAF não muda o EBITDA operacional nos 2 primeiros anos</t>
  </si>
  <si>
    <t xml:space="preserve">Caixa de cessão de atletas</t>
  </si>
  <si>
    <t xml:space="preserve">Estimativa: SAF mais agressiva em vendas estratégicas</t>
  </si>
  <si>
    <t xml:space="preserve">Capex elenco financiado por aporte (saída de caixa neutra — fonte interna)</t>
  </si>
  <si>
    <t xml:space="preserve">Capex agora é financiado pelo aporte, não tira caixa operacional</t>
  </si>
  <si>
    <t xml:space="preserve">Caixa final do ano (estimado)</t>
  </si>
  <si>
    <t xml:space="preserve">ESTRUTURA PATRIMONIAL DA SAF</t>
  </si>
  <si>
    <t xml:space="preserve">% do futebol controlado por investidores</t>
  </si>
  <si>
    <t xml:space="preserve">Conforme proposta LZ</t>
  </si>
  <si>
    <t xml:space="preserve">% mantido pela associação (clube social, esportes olímpicos)</t>
  </si>
  <si>
    <t xml:space="preserve">Governança: CEO profissional + Conselho da SAF</t>
  </si>
  <si>
    <t xml:space="preserve">Investidores</t>
  </si>
  <si>
    <t xml:space="preserve">Quantidade de investidores no bloco</t>
  </si>
  <si>
    <t xml:space="preserve">~40 empresários com ligações afetivas ao clube (premissa LZ)</t>
  </si>
  <si>
    <t xml:space="preserve">COMPARAÇÃO RÁPIDA: CAMINHO A (Continuidade) vs CAMINHO B (SAF)</t>
  </si>
  <si>
    <t xml:space="preserve">Indicador (R$ mil)</t>
  </si>
  <si>
    <t xml:space="preserve">Caminho A — Base (sem SAF)</t>
  </si>
  <si>
    <t xml:space="preserve">Caminho B — SAF (LZ/Lazuli)</t>
  </si>
  <si>
    <t xml:space="preserve">Diferença (B − A)</t>
  </si>
  <si>
    <t xml:space="preserve">Caixa operacional anual (aproximado)</t>
  </si>
  <si>
    <t xml:space="preserve">Aporte de capital novo recebido</t>
  </si>
  <si>
    <t xml:space="preserve">QUESTÕES CRÍTICAS DA PROPOSTA SAF</t>
  </si>
  <si>
    <t xml:space="preserve">1. Valuation: R$ 6,9 bi por 65% implica um valuation de R$ 10,6 bi para o futebol do Flu — comparável com SAFs já feitas?</t>
  </si>
  <si>
    <t xml:space="preserve">Botafogo SAF (2022): valuation efetivo ~R$ 1 bi; Vasco SAF (2022): ~R$ 700M; Cruzeiro SAF (2021): ~R$ 400M. R$ 10,6 bi é 10x superior — depende do ritmo de aporte e do que está incluído (estádio? marca? CT?)</t>
  </si>
  <si>
    <t xml:space="preserve">2. Cláusulas de governança da associação minoritária</t>
  </si>
  <si>
    <t xml:space="preserve">Com 35%, a associação não tem controle. Quais poderes de veto permanecem? Direito a indicar conselheiros? Cláusulas de proteção do clube social?</t>
  </si>
  <si>
    <t xml:space="preserve">3. Aceleração de pagamento das dívidas</t>
  </si>
  <si>
    <t xml:space="preserve">R$ 870M de dívidas é o quê exatamente? Bancárias, fiscais, trabalhistas, com fornecedores? Inclui as contas a pagar transferências de R$ 244M? Cada categoria tem custo de oportunidade diferente.</t>
  </si>
  <si>
    <t xml:space="preserve">4. Compromisso de aporte ao longo de 10 anos</t>
  </si>
  <si>
    <t xml:space="preserve">Existe garantia/colateral do investidor para os R$ 6,9 bi? Ou é "best efforts"? Botafogo SAF e Vasco SAF tiveram aportes inferiores ao prometido inicialmente — risco real.</t>
  </si>
  <si>
    <t xml:space="preserve">5. Conflito com Fla-Flu Serviços S.A. (concessão Maracanã)</t>
  </si>
  <si>
    <t xml:space="preserve">Como a SAF se relaciona com a participação de 35% no Fla-Flu? Continua na associação ou vai para a SAF?</t>
  </si>
  <si>
    <t xml:space="preserve">6. Aprovação pelo Conselho Deliberativo e Assembleia Geral</t>
  </si>
  <si>
    <t xml:space="preserve">Em curso. Histórico cariocas: Vasco SAF aprovada na primeira tentativa; Botafogo idem. Mas Fluminense tem cultura associativa mais forte — pode encontrar resistência.</t>
  </si>
  <si>
    <t xml:space="preserve">7. Mantém ou rompe com a Liga Forte/LFU?</t>
  </si>
  <si>
    <t xml:space="preserve">Receita de R$ 162M em direitos de transmissão 2025 — central no balanço. SAF pode renegociar contratos com a liga?</t>
  </si>
  <si>
    <t xml:space="preserve">8. Continuidade do passivo do auditor (FFU e contingências)</t>
  </si>
  <si>
    <t xml:space="preserve">A SAF assume as ressalvas do auditor BDO 2025 (R$ 34M de provisão e R$ 110M de marca/FFU)? Pode haver renegociação durante o deal due diligence.</t>
  </si>
  <si>
    <t xml:space="preserve">CONCLUSÃO DO CAMINHO B</t>
  </si>
  <si>
    <t xml:space="preserve">A proposta LZ/Lazuli resolve o problema fundamental do Caminho A: a queima estrutural de caixa que projeta um déficit de R$ 845M (Base) a R$ 1,14 bi (Pessimista) acumulado em 2026-2027. Com R$ 1,5 bi no primeiro ano (50% destinado a dívidas), o Flu eliminaria mais da metade do passivo total de R$ 1,04 bi logo no ano 1 — algo que o Caminho A não consegue fazer NUNCA dentro da própria operação.
O preço dessa solução é a perda de 65% do controle do futebol. O clube social, esportes olímpicos e a identidade jurídica do Fluminense Football Club permanecem com a associação, mas o motor financeiro — jogadores, contratos de transmissão, premiações, patrocínios — passa a ser uma empresa controlada por um bloco de ~40 investidores. 
A discussão real não é "SAF resolve?" — o modelo mostra que resolve. A discussão é "vale a pena pagar esse preço?" e "esses investidores entregam os R$ 6,9 bi de fato?". A segunda pergunta é a que mais pesa: SAFs já aprovadas no Brasil (Botafogo, Vasco, Cruzeiro) tiveram aportes inferiores ao prometido. O Fluminense, com cultura associativa forte, tende a fazer a primeira pergunta com mais peso que outros clubes.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</si>
</sst>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0.00\x"/>
    <numFmt numFmtId="168" formatCode="0.00&quot; meses&quot;"/>
    <numFmt numFmtId="169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4F2D7F"/>
        <bgColor rgb="FF333333"/>
      </patternFill>
    </fill>
    <fill>
      <patternFill patternType="solid">
        <fgColor rgb="FFD9D9D9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D9D9D9"/>
      </patternFill>
    </fill>
    <fill>
      <patternFill patternType="solid">
        <fgColor rgb="FFE2EFDA"/>
        <bgColor rgb="FFD9D9D9"/>
      </patternFill>
    </fill>
    <fill>
      <patternFill patternType="solid">
        <fgColor rgb="FFF8CBAD"/>
        <bgColor rgb="FFD9D9D9"/>
      </patternFill>
    </fill>
    <fill>
      <patternFill patternType="solid">
        <fgColor rgb="FFC00000"/>
        <bgColor rgb="FF800000"/>
      </patternFill>
    </fill>
    <fill>
      <patternFill patternType="solid">
        <fgColor rgb="FFBF8F00"/>
        <bgColor rgb="FFFF6600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7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6" fontId="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F2D7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5" min="2" style="1" width="16"/>
    <col collapsed="false" customWidth="true" hidden="false" outlineLevel="0" max="6" min="6" style="1" width="6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/>
      <c r="B4" s="5" t="s">
        <v>2</v>
      </c>
      <c r="C4" s="4" t="s">
        <v>3</v>
      </c>
      <c r="D4" s="4" t="s">
        <v>4</v>
      </c>
      <c r="E4" s="4" t="s">
        <v>5</v>
      </c>
      <c r="F4" s="4" t="s">
        <v>6</v>
      </c>
    </row>
    <row r="5" customFormat="false" ht="18" hidden="false" customHeight="true" outlineLevel="0" collapsed="false">
      <c r="A5" s="6" t="s">
        <v>7</v>
      </c>
      <c r="B5" s="6"/>
      <c r="C5" s="6"/>
      <c r="D5" s="6"/>
      <c r="E5" s="6"/>
      <c r="F5" s="6"/>
    </row>
    <row r="6" customFormat="false" ht="15" hidden="false" customHeight="true" outlineLevel="0" collapsed="false">
      <c r="A6" s="7" t="s">
        <v>8</v>
      </c>
      <c r="B6" s="8"/>
      <c r="C6" s="8"/>
      <c r="D6" s="8"/>
      <c r="E6" s="8"/>
      <c r="F6" s="8"/>
    </row>
    <row r="7" customFormat="false" ht="15" hidden="false" customHeight="true" outlineLevel="0" collapsed="false">
      <c r="A7" s="9" t="s">
        <v>9</v>
      </c>
      <c r="B7" s="10" t="n">
        <v>51</v>
      </c>
      <c r="C7" s="10" t="n">
        <v>41727</v>
      </c>
      <c r="D7" s="10" t="n">
        <v>10423</v>
      </c>
      <c r="E7" s="10" t="n">
        <v>34526</v>
      </c>
      <c r="F7" s="11"/>
    </row>
    <row r="8" customFormat="false" ht="15" hidden="false" customHeight="true" outlineLevel="0" collapsed="false">
      <c r="A8" s="9" t="s">
        <v>10</v>
      </c>
      <c r="B8" s="10" t="n">
        <v>8110</v>
      </c>
      <c r="C8" s="10" t="n">
        <v>118424</v>
      </c>
      <c r="D8" s="10" t="n">
        <v>95397</v>
      </c>
      <c r="E8" s="10" t="n">
        <v>49894</v>
      </c>
      <c r="F8" s="12" t="s">
        <v>11</v>
      </c>
    </row>
    <row r="9" customFormat="false" ht="15" hidden="false" customHeight="true" outlineLevel="0" collapsed="false">
      <c r="A9" s="9" t="s">
        <v>12</v>
      </c>
      <c r="B9" s="10" t="n">
        <v>46288</v>
      </c>
      <c r="C9" s="10" t="n">
        <v>24569</v>
      </c>
      <c r="D9" s="10" t="n">
        <v>67919</v>
      </c>
      <c r="E9" s="10" t="n">
        <v>78109</v>
      </c>
      <c r="F9" s="11"/>
    </row>
    <row r="10" customFormat="false" ht="15" hidden="false" customHeight="true" outlineLevel="0" collapsed="false">
      <c r="A10" s="9" t="s">
        <v>13</v>
      </c>
      <c r="B10" s="10" t="n">
        <v>7341</v>
      </c>
      <c r="C10" s="10" t="n">
        <v>17829</v>
      </c>
      <c r="D10" s="10" t="n">
        <v>4644</v>
      </c>
      <c r="E10" s="10" t="n">
        <v>16227</v>
      </c>
      <c r="F10" s="11"/>
    </row>
    <row r="11" customFormat="false" ht="15" hidden="false" customHeight="true" outlineLevel="0" collapsed="false">
      <c r="A11" s="9" t="s">
        <v>14</v>
      </c>
      <c r="B11" s="10" t="n">
        <v>2714</v>
      </c>
      <c r="C11" s="10" t="n">
        <v>1496</v>
      </c>
      <c r="D11" s="10" t="n">
        <v>169</v>
      </c>
      <c r="E11" s="10" t="n">
        <v>2330</v>
      </c>
      <c r="F11" s="11"/>
    </row>
    <row r="12" customFormat="false" ht="15" hidden="false" customHeight="true" outlineLevel="0" collapsed="false">
      <c r="A12" s="13" t="s">
        <v>15</v>
      </c>
      <c r="B12" s="14" t="n">
        <f aca="false">SUM(B7:B11)</f>
        <v>64504</v>
      </c>
      <c r="C12" s="14" t="n">
        <f aca="false">SUM(C7:C11)</f>
        <v>204045</v>
      </c>
      <c r="D12" s="14" t="n">
        <f aca="false">SUM(D7:D11)</f>
        <v>178552</v>
      </c>
      <c r="E12" s="14" t="n">
        <f aca="false">SUM(E7:E11)</f>
        <v>181086</v>
      </c>
      <c r="F12" s="15" t="s">
        <v>16</v>
      </c>
    </row>
    <row r="14" customFormat="false" ht="15" hidden="false" customHeight="true" outlineLevel="0" collapsed="false">
      <c r="A14" s="7" t="s">
        <v>17</v>
      </c>
      <c r="B14" s="8"/>
      <c r="C14" s="8"/>
      <c r="D14" s="8"/>
      <c r="E14" s="8"/>
      <c r="F14" s="8"/>
    </row>
    <row r="15" customFormat="false" ht="15" hidden="false" customHeight="true" outlineLevel="0" collapsed="false">
      <c r="A15" s="9" t="s">
        <v>18</v>
      </c>
      <c r="B15" s="10" t="n">
        <v>34207</v>
      </c>
      <c r="C15" s="10" t="n">
        <v>17409</v>
      </c>
      <c r="D15" s="10" t="n">
        <v>52089</v>
      </c>
      <c r="E15" s="10" t="n">
        <v>35580</v>
      </c>
      <c r="F15" s="11"/>
    </row>
    <row r="16" customFormat="false" ht="15" hidden="false" customHeight="true" outlineLevel="0" collapsed="false">
      <c r="A16" s="9" t="s">
        <v>19</v>
      </c>
      <c r="B16" s="10" t="n">
        <v>17096</v>
      </c>
      <c r="C16" s="10" t="n">
        <v>4206</v>
      </c>
      <c r="D16" s="10" t="n">
        <v>2268</v>
      </c>
      <c r="E16" s="10" t="n">
        <v>1878</v>
      </c>
      <c r="F16" s="11"/>
    </row>
    <row r="17" customFormat="false" ht="15" hidden="false" customHeight="true" outlineLevel="0" collapsed="false">
      <c r="A17" s="9" t="s">
        <v>20</v>
      </c>
      <c r="B17" s="10" t="n">
        <v>0</v>
      </c>
      <c r="C17" s="10" t="n">
        <v>0</v>
      </c>
      <c r="D17" s="10" t="n">
        <v>1646</v>
      </c>
      <c r="E17" s="10" t="n">
        <v>3793</v>
      </c>
      <c r="F17" s="12" t="s">
        <v>21</v>
      </c>
    </row>
    <row r="18" customFormat="false" ht="21.75" hidden="false" customHeight="true" outlineLevel="0" collapsed="false">
      <c r="A18" s="9" t="s">
        <v>22</v>
      </c>
      <c r="B18" s="10" t="n">
        <v>78054</v>
      </c>
      <c r="C18" s="10" t="n">
        <v>79860</v>
      </c>
      <c r="D18" s="10" t="n">
        <v>65506</v>
      </c>
      <c r="E18" s="10" t="n">
        <v>306803</v>
      </c>
      <c r="F18" s="12" t="s">
        <v>23</v>
      </c>
    </row>
    <row r="19" customFormat="false" ht="15" hidden="false" customHeight="true" outlineLevel="0" collapsed="false">
      <c r="A19" s="9" t="s">
        <v>24</v>
      </c>
      <c r="B19" s="10" t="n">
        <v>335516</v>
      </c>
      <c r="C19" s="10" t="n">
        <v>332259</v>
      </c>
      <c r="D19" s="10" t="n">
        <v>332020</v>
      </c>
      <c r="E19" s="10" t="n">
        <v>331731</v>
      </c>
      <c r="F19" s="12" t="s">
        <v>25</v>
      </c>
    </row>
    <row r="20" customFormat="false" ht="15" hidden="false" customHeight="true" outlineLevel="0" collapsed="false">
      <c r="A20" s="13" t="s">
        <v>26</v>
      </c>
      <c r="B20" s="14" t="n">
        <f aca="false">SUM(B15:B19)</f>
        <v>464873</v>
      </c>
      <c r="C20" s="14" t="n">
        <f aca="false">SUM(C15:C19)</f>
        <v>433734</v>
      </c>
      <c r="D20" s="14" t="n">
        <f aca="false">SUM(D15:D19)</f>
        <v>453529</v>
      </c>
      <c r="E20" s="14" t="n">
        <f aca="false">SUM(E15:E19)</f>
        <v>679785</v>
      </c>
      <c r="F20" s="15" t="s">
        <v>16</v>
      </c>
    </row>
    <row r="22" customFormat="false" ht="15" hidden="false" customHeight="true" outlineLevel="0" collapsed="false">
      <c r="A22" s="16" t="s">
        <v>27</v>
      </c>
      <c r="B22" s="17" t="n">
        <f aca="false">B12+B20</f>
        <v>529377</v>
      </c>
      <c r="C22" s="17" t="n">
        <f aca="false">C12+C20</f>
        <v>637779</v>
      </c>
      <c r="D22" s="17" t="n">
        <f aca="false">D12+D20</f>
        <v>632081</v>
      </c>
      <c r="E22" s="17" t="n">
        <f aca="false">E12+E20</f>
        <v>860871</v>
      </c>
      <c r="F22" s="18" t="s">
        <v>28</v>
      </c>
    </row>
    <row r="24" customFormat="false" ht="18" hidden="false" customHeight="true" outlineLevel="0" collapsed="false">
      <c r="A24" s="6" t="s">
        <v>29</v>
      </c>
      <c r="B24" s="6"/>
      <c r="C24" s="6"/>
      <c r="D24" s="6"/>
      <c r="E24" s="6"/>
      <c r="F24" s="6"/>
    </row>
    <row r="25" customFormat="false" ht="15" hidden="false" customHeight="true" outlineLevel="0" collapsed="false">
      <c r="A25" s="7" t="s">
        <v>30</v>
      </c>
      <c r="B25" s="8"/>
      <c r="C25" s="8"/>
      <c r="D25" s="8"/>
      <c r="E25" s="8"/>
      <c r="F25" s="8"/>
    </row>
    <row r="26" customFormat="false" ht="15" hidden="false" customHeight="true" outlineLevel="0" collapsed="false">
      <c r="A26" s="9" t="s">
        <v>31</v>
      </c>
      <c r="B26" s="10" t="n">
        <v>10488</v>
      </c>
      <c r="C26" s="10" t="n">
        <v>12653</v>
      </c>
      <c r="D26" s="10" t="n">
        <v>6024</v>
      </c>
      <c r="E26" s="10" t="n">
        <v>30165</v>
      </c>
      <c r="F26" s="11"/>
    </row>
    <row r="27" customFormat="false" ht="15" hidden="false" customHeight="true" outlineLevel="0" collapsed="false">
      <c r="A27" s="9" t="s">
        <v>32</v>
      </c>
      <c r="B27" s="10" t="n">
        <v>27675</v>
      </c>
      <c r="C27" s="10" t="n">
        <v>31369</v>
      </c>
      <c r="D27" s="10" t="n">
        <v>78869</v>
      </c>
      <c r="E27" s="10" t="n">
        <v>196295</v>
      </c>
      <c r="F27" s="12" t="s">
        <v>33</v>
      </c>
    </row>
    <row r="28" customFormat="false" ht="15" hidden="false" customHeight="true" outlineLevel="0" collapsed="false">
      <c r="A28" s="9" t="s">
        <v>34</v>
      </c>
      <c r="B28" s="10" t="n">
        <v>33418</v>
      </c>
      <c r="C28" s="10" t="n">
        <v>38558</v>
      </c>
      <c r="D28" s="10" t="n">
        <v>1479</v>
      </c>
      <c r="E28" s="10" t="n">
        <v>17125</v>
      </c>
      <c r="F28" s="11"/>
    </row>
    <row r="29" customFormat="false" ht="15" hidden="false" customHeight="true" outlineLevel="0" collapsed="false">
      <c r="A29" s="9" t="s">
        <v>35</v>
      </c>
      <c r="B29" s="10" t="n">
        <v>28298</v>
      </c>
      <c r="C29" s="10" t="n">
        <v>36475</v>
      </c>
      <c r="D29" s="10" t="n">
        <v>65055</v>
      </c>
      <c r="E29" s="10" t="n">
        <v>59840</v>
      </c>
      <c r="F29" s="11"/>
    </row>
    <row r="30" customFormat="false" ht="21.75" hidden="false" customHeight="true" outlineLevel="0" collapsed="false">
      <c r="A30" s="9" t="s">
        <v>36</v>
      </c>
      <c r="B30" s="10" t="n">
        <v>42002</v>
      </c>
      <c r="C30" s="10" t="n">
        <v>50849</v>
      </c>
      <c r="D30" s="10" t="n">
        <v>47485</v>
      </c>
      <c r="E30" s="10" t="n">
        <v>58059</v>
      </c>
      <c r="F30" s="12" t="s">
        <v>37</v>
      </c>
    </row>
    <row r="31" customFormat="false" ht="15" hidden="false" customHeight="true" outlineLevel="0" collapsed="false">
      <c r="A31" s="9" t="s">
        <v>38</v>
      </c>
      <c r="B31" s="10" t="n">
        <v>8176</v>
      </c>
      <c r="C31" s="10" t="n">
        <v>16694</v>
      </c>
      <c r="D31" s="10" t="n">
        <v>10343</v>
      </c>
      <c r="E31" s="10" t="n">
        <v>14620</v>
      </c>
      <c r="F31" s="11"/>
    </row>
    <row r="32" customFormat="false" ht="15" hidden="false" customHeight="true" outlineLevel="0" collapsed="false">
      <c r="A32" s="9" t="s">
        <v>39</v>
      </c>
      <c r="B32" s="10" t="n">
        <v>20025</v>
      </c>
      <c r="C32" s="10" t="n">
        <v>20917</v>
      </c>
      <c r="D32" s="10" t="n">
        <v>39526</v>
      </c>
      <c r="E32" s="10" t="n">
        <v>33382</v>
      </c>
      <c r="F32" s="11"/>
    </row>
    <row r="33" customFormat="false" ht="15" hidden="false" customHeight="true" outlineLevel="0" collapsed="false">
      <c r="A33" s="9" t="s">
        <v>40</v>
      </c>
      <c r="B33" s="10" t="n">
        <v>26145</v>
      </c>
      <c r="C33" s="10" t="n">
        <v>24139</v>
      </c>
      <c r="D33" s="10" t="n">
        <v>33200</v>
      </c>
      <c r="E33" s="10" t="n">
        <v>16541</v>
      </c>
      <c r="F33" s="11"/>
    </row>
    <row r="34" customFormat="false" ht="21.75" hidden="false" customHeight="true" outlineLevel="0" collapsed="false">
      <c r="A34" s="9" t="s">
        <v>41</v>
      </c>
      <c r="B34" s="10" t="n">
        <v>54567</v>
      </c>
      <c r="C34" s="10" t="n">
        <v>61437</v>
      </c>
      <c r="D34" s="10" t="n">
        <v>94298</v>
      </c>
      <c r="E34" s="10" t="n">
        <v>53191</v>
      </c>
      <c r="F34" s="12" t="s">
        <v>42</v>
      </c>
    </row>
    <row r="35" customFormat="false" ht="15" hidden="false" customHeight="true" outlineLevel="0" collapsed="false">
      <c r="A35" s="9" t="s">
        <v>43</v>
      </c>
      <c r="B35" s="10" t="n">
        <v>40228</v>
      </c>
      <c r="C35" s="10" t="n">
        <v>30028</v>
      </c>
      <c r="D35" s="10" t="n">
        <v>5088</v>
      </c>
      <c r="E35" s="10" t="n">
        <v>773</v>
      </c>
      <c r="F35" s="11"/>
    </row>
    <row r="36" customFormat="false" ht="15" hidden="false" customHeight="true" outlineLevel="0" collapsed="false">
      <c r="A36" s="9" t="s">
        <v>44</v>
      </c>
      <c r="B36" s="10" t="n">
        <v>2127</v>
      </c>
      <c r="C36" s="10" t="n">
        <v>8273</v>
      </c>
      <c r="D36" s="10" t="n">
        <v>10120</v>
      </c>
      <c r="E36" s="10" t="n">
        <v>3822</v>
      </c>
      <c r="F36" s="11"/>
    </row>
    <row r="37" customFormat="false" ht="15" hidden="false" customHeight="true" outlineLevel="0" collapsed="false">
      <c r="A37" s="13" t="s">
        <v>45</v>
      </c>
      <c r="B37" s="14" t="n">
        <f aca="false">SUM(B26:B36)</f>
        <v>293149</v>
      </c>
      <c r="C37" s="14" t="n">
        <f aca="false">SUM(C26:C36)</f>
        <v>331392</v>
      </c>
      <c r="D37" s="14" t="n">
        <f aca="false">SUM(D26:D36)</f>
        <v>391487</v>
      </c>
      <c r="E37" s="14" t="n">
        <f aca="false">SUM(E26:E36)</f>
        <v>483813</v>
      </c>
      <c r="F37" s="15" t="s">
        <v>16</v>
      </c>
    </row>
    <row r="39" customFormat="false" ht="15" hidden="false" customHeight="true" outlineLevel="0" collapsed="false">
      <c r="A39" s="7" t="s">
        <v>46</v>
      </c>
      <c r="B39" s="8"/>
      <c r="C39" s="8"/>
      <c r="D39" s="8"/>
      <c r="E39" s="8"/>
      <c r="F39" s="8"/>
    </row>
    <row r="40" customFormat="false" ht="15" hidden="false" customHeight="true" outlineLevel="0" collapsed="false">
      <c r="A40" s="9" t="s">
        <v>47</v>
      </c>
      <c r="B40" s="10" t="n">
        <v>23826</v>
      </c>
      <c r="C40" s="10" t="n">
        <v>26954</v>
      </c>
      <c r="D40" s="10" t="n">
        <v>20744</v>
      </c>
      <c r="E40" s="10" t="n">
        <v>47897</v>
      </c>
      <c r="F40" s="11"/>
    </row>
    <row r="41" customFormat="false" ht="15" hidden="false" customHeight="true" outlineLevel="0" collapsed="false">
      <c r="A41" s="9" t="s">
        <v>48</v>
      </c>
      <c r="B41" s="10" t="n">
        <v>25748</v>
      </c>
      <c r="C41" s="10" t="n">
        <v>10711</v>
      </c>
      <c r="D41" s="10" t="n">
        <v>30000</v>
      </c>
      <c r="E41" s="10" t="n">
        <v>20650</v>
      </c>
      <c r="F41" s="11"/>
    </row>
    <row r="42" customFormat="false" ht="15" hidden="false" customHeight="true" outlineLevel="0" collapsed="false">
      <c r="A42" s="9" t="s">
        <v>49</v>
      </c>
      <c r="B42" s="10" t="n">
        <v>285826</v>
      </c>
      <c r="C42" s="10" t="n">
        <v>340135</v>
      </c>
      <c r="D42" s="10" t="n">
        <v>327234</v>
      </c>
      <c r="E42" s="10" t="n">
        <v>410140</v>
      </c>
      <c r="F42" s="12" t="s">
        <v>50</v>
      </c>
    </row>
    <row r="43" customFormat="false" ht="15" hidden="false" customHeight="true" outlineLevel="0" collapsed="false">
      <c r="A43" s="9" t="s">
        <v>51</v>
      </c>
      <c r="B43" s="10" t="n">
        <v>25558</v>
      </c>
      <c r="C43" s="10" t="n">
        <v>78982</v>
      </c>
      <c r="D43" s="10" t="n">
        <v>72855</v>
      </c>
      <c r="E43" s="10" t="n">
        <v>38199</v>
      </c>
      <c r="F43" s="11"/>
    </row>
    <row r="44" customFormat="false" ht="15" hidden="false" customHeight="true" outlineLevel="0" collapsed="false">
      <c r="A44" s="9" t="s">
        <v>52</v>
      </c>
      <c r="B44" s="10" t="n">
        <v>129876</v>
      </c>
      <c r="C44" s="10" t="n">
        <v>34640</v>
      </c>
      <c r="D44" s="10" t="n">
        <v>23391</v>
      </c>
      <c r="E44" s="10" t="n">
        <v>42217</v>
      </c>
      <c r="F44" s="12" t="s">
        <v>53</v>
      </c>
    </row>
    <row r="45" customFormat="false" ht="15" hidden="false" customHeight="true" outlineLevel="0" collapsed="false">
      <c r="A45" s="9" t="s">
        <v>54</v>
      </c>
      <c r="B45" s="10" t="n">
        <v>9330</v>
      </c>
      <c r="C45" s="10" t="n">
        <v>178</v>
      </c>
      <c r="D45" s="10" t="n">
        <v>0</v>
      </c>
      <c r="E45" s="10" t="n">
        <v>0</v>
      </c>
      <c r="F45" s="11"/>
    </row>
    <row r="46" customFormat="false" ht="15" hidden="false" customHeight="true" outlineLevel="0" collapsed="false">
      <c r="A46" s="13" t="s">
        <v>55</v>
      </c>
      <c r="B46" s="14" t="n">
        <f aca="false">SUM(B40:B45)</f>
        <v>500164</v>
      </c>
      <c r="C46" s="14" t="n">
        <f aca="false">SUM(C40:C45)</f>
        <v>491600</v>
      </c>
      <c r="D46" s="14" t="n">
        <f aca="false">SUM(D40:D45)</f>
        <v>474224</v>
      </c>
      <c r="E46" s="14" t="n">
        <f aca="false">SUM(E40:E45)</f>
        <v>559103</v>
      </c>
      <c r="F46" s="15" t="s">
        <v>16</v>
      </c>
    </row>
    <row r="48" customFormat="false" ht="15" hidden="false" customHeight="true" outlineLevel="0" collapsed="false">
      <c r="A48" s="16" t="s">
        <v>56</v>
      </c>
      <c r="B48" s="17" t="n">
        <f aca="false">B37+B46</f>
        <v>793313</v>
      </c>
      <c r="C48" s="17" t="n">
        <f aca="false">C37+C46</f>
        <v>822992</v>
      </c>
      <c r="D48" s="17" t="n">
        <f aca="false">D37+D46</f>
        <v>865711</v>
      </c>
      <c r="E48" s="17" t="n">
        <f aca="false">E37+E46</f>
        <v>1042916</v>
      </c>
      <c r="F48" s="18" t="s">
        <v>28</v>
      </c>
    </row>
    <row r="50" customFormat="false" ht="15" hidden="false" customHeight="true" outlineLevel="0" collapsed="false">
      <c r="A50" s="7" t="s">
        <v>57</v>
      </c>
      <c r="B50" s="8"/>
      <c r="C50" s="8"/>
      <c r="D50" s="8"/>
      <c r="E50" s="8"/>
      <c r="F50" s="8"/>
    </row>
    <row r="51" customFormat="false" ht="15" hidden="false" customHeight="true" outlineLevel="0" collapsed="false">
      <c r="A51" s="9" t="s">
        <v>58</v>
      </c>
      <c r="B51" s="10" t="n">
        <v>0</v>
      </c>
      <c r="C51" s="10" t="n">
        <v>-539500</v>
      </c>
      <c r="D51" s="10" t="n">
        <v>-458713</v>
      </c>
      <c r="E51" s="10" t="n">
        <v>-458598</v>
      </c>
      <c r="F51" s="11"/>
    </row>
    <row r="52" customFormat="false" ht="15" hidden="false" customHeight="true" outlineLevel="0" collapsed="false">
      <c r="A52" s="9" t="s">
        <v>59</v>
      </c>
      <c r="B52" s="10" t="n">
        <v>275564</v>
      </c>
      <c r="C52" s="10" t="n">
        <v>273499</v>
      </c>
      <c r="D52" s="10" t="n">
        <v>271433</v>
      </c>
      <c r="E52" s="10" t="n">
        <v>271432</v>
      </c>
      <c r="F52" s="11"/>
    </row>
    <row r="53" customFormat="false" ht="15" hidden="false" customHeight="true" outlineLevel="0" collapsed="false">
      <c r="A53" s="9" t="s">
        <v>60</v>
      </c>
      <c r="B53" s="10" t="n">
        <v>0</v>
      </c>
      <c r="C53" s="10" t="n">
        <v>0</v>
      </c>
      <c r="D53" s="10" t="n">
        <v>2066</v>
      </c>
      <c r="E53" s="10" t="n">
        <v>2066</v>
      </c>
      <c r="F53" s="11"/>
    </row>
    <row r="54" customFormat="false" ht="15" hidden="false" customHeight="true" outlineLevel="0" collapsed="false">
      <c r="A54" s="9" t="s">
        <v>61</v>
      </c>
      <c r="B54" s="10" t="n">
        <v>0</v>
      </c>
      <c r="C54" s="10" t="n">
        <v>0</v>
      </c>
      <c r="D54" s="10" t="n">
        <v>114</v>
      </c>
      <c r="E54" s="10" t="n">
        <v>51585</v>
      </c>
      <c r="F54" s="11"/>
    </row>
    <row r="55" customFormat="false" ht="15" hidden="false" customHeight="true" outlineLevel="0" collapsed="false">
      <c r="A55" s="9" t="s">
        <v>62</v>
      </c>
      <c r="B55" s="10" t="n">
        <v>0</v>
      </c>
      <c r="C55" s="10" t="n">
        <v>0</v>
      </c>
      <c r="D55" s="10" t="n">
        <v>-48530</v>
      </c>
      <c r="E55" s="10" t="n">
        <v>-48530</v>
      </c>
      <c r="F55" s="12" t="s">
        <v>63</v>
      </c>
    </row>
    <row r="56" customFormat="false" ht="15" hidden="false" customHeight="true" outlineLevel="0" collapsed="false">
      <c r="A56" s="9" t="s">
        <v>64</v>
      </c>
      <c r="B56" s="10" t="n">
        <v>-539500</v>
      </c>
      <c r="C56" s="10" t="n">
        <v>80786</v>
      </c>
      <c r="D56" s="10" t="n">
        <v>0</v>
      </c>
      <c r="E56" s="10" t="n">
        <v>0</v>
      </c>
      <c r="F56" s="12" t="s">
        <v>65</v>
      </c>
    </row>
    <row r="57" customFormat="false" ht="15" hidden="false" customHeight="true" outlineLevel="0" collapsed="false">
      <c r="A57" s="13" t="s">
        <v>66</v>
      </c>
      <c r="B57" s="14" t="n">
        <f aca="false">SUM(B51:B56)</f>
        <v>-263936</v>
      </c>
      <c r="C57" s="14" t="n">
        <f aca="false">SUM(C51:C56)</f>
        <v>-185215</v>
      </c>
      <c r="D57" s="14" t="n">
        <f aca="false">SUM(D51:D56)</f>
        <v>-233630</v>
      </c>
      <c r="E57" s="14" t="n">
        <f aca="false">SUM(E51:E56)</f>
        <v>-182045</v>
      </c>
      <c r="F57" s="15" t="s">
        <v>67</v>
      </c>
    </row>
    <row r="59" customFormat="false" ht="15" hidden="false" customHeight="true" outlineLevel="0" collapsed="false">
      <c r="A59" s="16" t="s">
        <v>68</v>
      </c>
      <c r="B59" s="17" t="n">
        <f aca="false">B48+B57</f>
        <v>529377</v>
      </c>
      <c r="C59" s="17" t="n">
        <f aca="false">C48+C57</f>
        <v>637777</v>
      </c>
      <c r="D59" s="17" t="n">
        <f aca="false">D48+D57</f>
        <v>632081</v>
      </c>
      <c r="E59" s="17" t="n">
        <f aca="false">E48+E57</f>
        <v>860871</v>
      </c>
      <c r="F59" s="18" t="s">
        <v>69</v>
      </c>
    </row>
    <row r="61" customFormat="false" ht="15" hidden="false" customHeight="true" outlineLevel="0" collapsed="false">
      <c r="A61" s="19" t="s">
        <v>70</v>
      </c>
      <c r="B61" s="20" t="n">
        <f aca="false">B22-B59</f>
        <v>0</v>
      </c>
      <c r="C61" s="20" t="n">
        <f aca="false">C22-C59</f>
        <v>2</v>
      </c>
      <c r="D61" s="20" t="n">
        <f aca="false">D22-D59</f>
        <v>0</v>
      </c>
      <c r="E61" s="20" t="n">
        <f aca="false">E22-E59</f>
        <v>0</v>
      </c>
      <c r="F61" s="21" t="s">
        <v>71</v>
      </c>
    </row>
    <row r="63" customFormat="false" ht="15" hidden="false" customHeight="true" outlineLevel="0" collapsed="false">
      <c r="A63" s="7" t="s">
        <v>72</v>
      </c>
      <c r="B63" s="8"/>
      <c r="C63" s="8"/>
      <c r="D63" s="8"/>
      <c r="E63" s="8"/>
      <c r="F63" s="8"/>
    </row>
    <row r="64" customFormat="false" ht="15" hidden="false" customHeight="true" outlineLevel="0" collapsed="false">
      <c r="A64" s="13" t="s">
        <v>73</v>
      </c>
      <c r="B64" s="14" t="n">
        <f aca="false">B12-B37</f>
        <v>-228645</v>
      </c>
      <c r="C64" s="14" t="n">
        <f aca="false">C12-C37</f>
        <v>-127347</v>
      </c>
      <c r="D64" s="14" t="n">
        <f aca="false">D12-D37</f>
        <v>-212935</v>
      </c>
      <c r="E64" s="14" t="n">
        <f aca="false">E12-E37</f>
        <v>-302727</v>
      </c>
      <c r="F64" s="15" t="s">
        <v>74</v>
      </c>
    </row>
    <row r="65" customFormat="false" ht="15" hidden="false" customHeight="true" outlineLevel="0" collapsed="false">
      <c r="A65" s="13" t="s">
        <v>75</v>
      </c>
      <c r="B65" s="14" t="n">
        <f aca="false">B57</f>
        <v>-263936</v>
      </c>
      <c r="C65" s="14" t="n">
        <f aca="false">C57</f>
        <v>-185215</v>
      </c>
      <c r="D65" s="14" t="n">
        <f aca="false">D57</f>
        <v>-233630</v>
      </c>
      <c r="E65" s="14" t="n">
        <f aca="false">E57</f>
        <v>-182045</v>
      </c>
      <c r="F65" s="15" t="s">
        <v>76</v>
      </c>
    </row>
  </sheetData>
  <mergeCells count="4">
    <mergeCell ref="A1:F1"/>
    <mergeCell ref="A2:F2"/>
    <mergeCell ref="A5:F5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5" min="2" style="1" width="16"/>
    <col collapsed="false" customWidth="true" hidden="false" outlineLevel="0" max="6" min="6" style="1" width="60"/>
  </cols>
  <sheetData>
    <row r="1" customFormat="false" ht="21.75" hidden="false" customHeight="true" outlineLevel="0" collapsed="false">
      <c r="A1" s="2" t="s">
        <v>77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 t="s">
        <v>78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/>
      <c r="B4" s="5" t="s">
        <v>2</v>
      </c>
      <c r="C4" s="4" t="s">
        <v>3</v>
      </c>
      <c r="D4" s="4" t="s">
        <v>4</v>
      </c>
      <c r="E4" s="4" t="s">
        <v>5</v>
      </c>
      <c r="F4" s="4" t="s">
        <v>6</v>
      </c>
    </row>
    <row r="5" customFormat="false" ht="15" hidden="false" customHeight="true" outlineLevel="0" collapsed="false">
      <c r="A5" s="9" t="s">
        <v>79</v>
      </c>
      <c r="B5" s="10" t="n">
        <v>327933</v>
      </c>
      <c r="C5" s="10" t="n">
        <v>458713</v>
      </c>
      <c r="D5" s="10" t="n">
        <v>399624</v>
      </c>
      <c r="E5" s="10" t="n">
        <v>758546</v>
      </c>
      <c r="F5" s="12" t="s">
        <v>80</v>
      </c>
    </row>
    <row r="7" customFormat="false" ht="18" hidden="false" customHeight="true" outlineLevel="0" collapsed="false">
      <c r="A7" s="6" t="s">
        <v>81</v>
      </c>
      <c r="B7" s="6"/>
      <c r="C7" s="6"/>
      <c r="D7" s="6"/>
      <c r="E7" s="6"/>
      <c r="F7" s="6"/>
    </row>
    <row r="8" customFormat="false" ht="15" hidden="false" customHeight="true" outlineLevel="0" collapsed="false">
      <c r="A8" s="9" t="s">
        <v>82</v>
      </c>
      <c r="B8" s="10" t="n">
        <v>-209835</v>
      </c>
      <c r="C8" s="10" t="n">
        <v>-257820</v>
      </c>
      <c r="D8" s="10" t="n">
        <v>-371159</v>
      </c>
      <c r="E8" s="10" t="n">
        <v>-521663</v>
      </c>
      <c r="F8" s="12" t="s">
        <v>83</v>
      </c>
    </row>
    <row r="9" customFormat="false" ht="15" hidden="false" customHeight="true" outlineLevel="0" collapsed="false">
      <c r="A9" s="9" t="s">
        <v>84</v>
      </c>
      <c r="B9" s="10" t="n">
        <v>-45213</v>
      </c>
      <c r="C9" s="10" t="n">
        <v>-56178</v>
      </c>
      <c r="D9" s="10" t="n">
        <v>-71975</v>
      </c>
      <c r="E9" s="10" t="n">
        <v>-88419</v>
      </c>
      <c r="F9" s="11"/>
    </row>
    <row r="10" customFormat="false" ht="15" hidden="false" customHeight="true" outlineLevel="0" collapsed="false">
      <c r="A10" s="9" t="s">
        <v>85</v>
      </c>
      <c r="B10" s="10" t="n">
        <v>-28456</v>
      </c>
      <c r="C10" s="10" t="n">
        <v>-36529</v>
      </c>
      <c r="D10" s="10" t="n">
        <v>-44118</v>
      </c>
      <c r="E10" s="10" t="n">
        <v>-88941</v>
      </c>
      <c r="F10" s="12" t="s">
        <v>86</v>
      </c>
    </row>
    <row r="11" customFormat="false" ht="15" hidden="false" customHeight="true" outlineLevel="0" collapsed="false">
      <c r="A11" s="9" t="s">
        <v>87</v>
      </c>
      <c r="B11" s="10" t="n">
        <v>-8127</v>
      </c>
      <c r="C11" s="10" t="n">
        <v>9520</v>
      </c>
      <c r="D11" s="10" t="n">
        <v>-9569</v>
      </c>
      <c r="E11" s="10" t="n">
        <v>-30861</v>
      </c>
      <c r="F11" s="11"/>
    </row>
    <row r="12" customFormat="false" ht="15" hidden="false" customHeight="true" outlineLevel="0" collapsed="false">
      <c r="A12" s="9" t="s">
        <v>88</v>
      </c>
      <c r="B12" s="10" t="n">
        <v>-22308</v>
      </c>
      <c r="C12" s="10" t="n">
        <v>-18540</v>
      </c>
      <c r="D12" s="10" t="n">
        <v>-32632</v>
      </c>
      <c r="E12" s="10" t="n">
        <v>-84353</v>
      </c>
      <c r="F12" s="11"/>
    </row>
    <row r="13" customFormat="false" ht="15" hidden="false" customHeight="true" outlineLevel="0" collapsed="false">
      <c r="A13" s="9" t="s">
        <v>89</v>
      </c>
      <c r="B13" s="10" t="n">
        <v>-3829</v>
      </c>
      <c r="C13" s="10" t="n">
        <v>-4112</v>
      </c>
      <c r="D13" s="10" t="n">
        <v>-4440</v>
      </c>
      <c r="E13" s="10" t="n">
        <v>-6762</v>
      </c>
      <c r="F13" s="11"/>
    </row>
    <row r="14" customFormat="false" ht="15" hidden="false" customHeight="true" outlineLevel="0" collapsed="false">
      <c r="A14" s="9" t="s">
        <v>90</v>
      </c>
      <c r="B14" s="10" t="n">
        <v>0</v>
      </c>
      <c r="C14" s="10" t="n">
        <v>-2814</v>
      </c>
      <c r="D14" s="10" t="n">
        <v>-5248</v>
      </c>
      <c r="E14" s="10" t="n">
        <v>-17667</v>
      </c>
      <c r="F14" s="12" t="s">
        <v>91</v>
      </c>
    </row>
    <row r="15" customFormat="false" ht="15" hidden="false" customHeight="true" outlineLevel="0" collapsed="false">
      <c r="A15" s="9" t="s">
        <v>92</v>
      </c>
      <c r="B15" s="10" t="n">
        <v>0</v>
      </c>
      <c r="C15" s="10" t="n">
        <v>0</v>
      </c>
      <c r="D15" s="10" t="n">
        <v>-1865</v>
      </c>
      <c r="E15" s="10" t="n">
        <v>7505</v>
      </c>
      <c r="F15" s="12" t="s">
        <v>93</v>
      </c>
    </row>
    <row r="16" customFormat="false" ht="15" hidden="false" customHeight="true" outlineLevel="0" collapsed="false">
      <c r="A16" s="9" t="s">
        <v>94</v>
      </c>
      <c r="B16" s="10" t="n">
        <v>-36782</v>
      </c>
      <c r="C16" s="10" t="n">
        <v>-42375</v>
      </c>
      <c r="D16" s="10" t="n">
        <v>-52295</v>
      </c>
      <c r="E16" s="10" t="n">
        <v>-54138</v>
      </c>
      <c r="F16" s="11"/>
    </row>
    <row r="17" customFormat="false" ht="15" hidden="false" customHeight="true" outlineLevel="0" collapsed="false">
      <c r="A17" s="13" t="s">
        <v>95</v>
      </c>
      <c r="B17" s="14" t="n">
        <f aca="false">SUM(B8:B16)</f>
        <v>-354550</v>
      </c>
      <c r="C17" s="14" t="n">
        <f aca="false">SUM(C8:C16)</f>
        <v>-408848</v>
      </c>
      <c r="D17" s="14" t="n">
        <f aca="false">SUM(D8:D16)</f>
        <v>-593301</v>
      </c>
      <c r="E17" s="14" t="n">
        <f aca="false">SUM(E8:E16)</f>
        <v>-885299</v>
      </c>
      <c r="F17" s="15" t="s">
        <v>16</v>
      </c>
    </row>
    <row r="19" customFormat="false" ht="18" hidden="false" customHeight="true" outlineLevel="0" collapsed="false">
      <c r="A19" s="6" t="s">
        <v>96</v>
      </c>
      <c r="B19" s="6"/>
      <c r="C19" s="6"/>
      <c r="D19" s="6"/>
      <c r="E19" s="6"/>
      <c r="F19" s="6"/>
    </row>
    <row r="20" customFormat="false" ht="21.75" hidden="false" customHeight="true" outlineLevel="0" collapsed="false">
      <c r="A20" s="9" t="s">
        <v>97</v>
      </c>
      <c r="B20" s="10" t="n">
        <v>93930</v>
      </c>
      <c r="C20" s="10" t="n">
        <v>16106</v>
      </c>
      <c r="D20" s="10" t="n">
        <v>268169</v>
      </c>
      <c r="E20" s="10" t="n">
        <v>233378</v>
      </c>
      <c r="F20" s="12" t="s">
        <v>98</v>
      </c>
    </row>
    <row r="21" customFormat="false" ht="15" hidden="false" customHeight="true" outlineLevel="0" collapsed="false">
      <c r="A21" s="9" t="s">
        <v>99</v>
      </c>
      <c r="B21" s="10" t="n">
        <v>-3568</v>
      </c>
      <c r="C21" s="10" t="n">
        <v>-2185</v>
      </c>
      <c r="D21" s="10" t="n">
        <v>-5720</v>
      </c>
      <c r="E21" s="10" t="n">
        <v>-6255</v>
      </c>
      <c r="F21" s="11"/>
    </row>
    <row r="22" customFormat="false" ht="15" hidden="false" customHeight="true" outlineLevel="0" collapsed="false">
      <c r="A22" s="13" t="s">
        <v>100</v>
      </c>
      <c r="B22" s="14" t="n">
        <f aca="false">SUM(B20:B21)</f>
        <v>90362</v>
      </c>
      <c r="C22" s="14" t="n">
        <f aca="false">SUM(C20:C21)</f>
        <v>13921</v>
      </c>
      <c r="D22" s="14" t="n">
        <f aca="false">SUM(D20:D21)</f>
        <v>262449</v>
      </c>
      <c r="E22" s="14" t="n">
        <f aca="false">SUM(E20:E21)</f>
        <v>227123</v>
      </c>
      <c r="F22" s="15"/>
    </row>
    <row r="24" customFormat="false" ht="15" hidden="false" customHeight="true" outlineLevel="0" collapsed="false">
      <c r="A24" s="16" t="s">
        <v>101</v>
      </c>
      <c r="B24" s="17" t="n">
        <f aca="false">B5+B17+B22</f>
        <v>63745</v>
      </c>
      <c r="C24" s="17" t="n">
        <f aca="false">C5+C17+C22</f>
        <v>63786</v>
      </c>
      <c r="D24" s="17" t="n">
        <f aca="false">D5+D17+D22</f>
        <v>68772</v>
      </c>
      <c r="E24" s="17" t="n">
        <f aca="false">E5+E17+E22</f>
        <v>100370</v>
      </c>
      <c r="F24" s="18" t="s">
        <v>102</v>
      </c>
    </row>
    <row r="26" customFormat="false" ht="18" hidden="false" customHeight="true" outlineLevel="0" collapsed="false">
      <c r="A26" s="6" t="s">
        <v>103</v>
      </c>
      <c r="B26" s="6"/>
      <c r="C26" s="6"/>
      <c r="D26" s="6"/>
      <c r="E26" s="6"/>
      <c r="F26" s="6"/>
    </row>
    <row r="27" customFormat="false" ht="15" hidden="false" customHeight="true" outlineLevel="0" collapsed="false">
      <c r="A27" s="9" t="s">
        <v>104</v>
      </c>
      <c r="B27" s="10" t="n">
        <v>5638</v>
      </c>
      <c r="C27" s="10" t="n">
        <v>8275</v>
      </c>
      <c r="D27" s="10" t="n">
        <v>10232</v>
      </c>
      <c r="E27" s="10" t="n">
        <v>119244</v>
      </c>
      <c r="F27" s="12" t="s">
        <v>105</v>
      </c>
    </row>
    <row r="28" customFormat="false" ht="15" hidden="false" customHeight="true" outlineLevel="0" collapsed="false">
      <c r="A28" s="9" t="s">
        <v>106</v>
      </c>
      <c r="B28" s="10" t="n">
        <v>-39423</v>
      </c>
      <c r="C28" s="10" t="n">
        <v>-47935</v>
      </c>
      <c r="D28" s="10" t="n">
        <v>-78890</v>
      </c>
      <c r="E28" s="10" t="n">
        <v>-168029</v>
      </c>
      <c r="F28" s="12" t="s">
        <v>107</v>
      </c>
    </row>
    <row r="29" customFormat="false" ht="15" hidden="false" customHeight="true" outlineLevel="0" collapsed="false">
      <c r="A29" s="13" t="s">
        <v>108</v>
      </c>
      <c r="B29" s="14" t="n">
        <f aca="false">B27+B28</f>
        <v>-33785</v>
      </c>
      <c r="C29" s="14" t="n">
        <f aca="false">C27+C28</f>
        <v>-39660</v>
      </c>
      <c r="D29" s="14" t="n">
        <f aca="false">D27+D28</f>
        <v>-68658</v>
      </c>
      <c r="E29" s="14" t="n">
        <f aca="false">E27+E28</f>
        <v>-48785</v>
      </c>
      <c r="F29" s="15"/>
    </row>
    <row r="31" customFormat="false" ht="15" hidden="false" customHeight="true" outlineLevel="0" collapsed="false">
      <c r="A31" s="16" t="s">
        <v>109</v>
      </c>
      <c r="B31" s="17" t="n">
        <f aca="false">B24+B29</f>
        <v>29960</v>
      </c>
      <c r="C31" s="17" t="n">
        <f aca="false">C24+C29</f>
        <v>24126</v>
      </c>
      <c r="D31" s="17" t="n">
        <f aca="false">D24+D29</f>
        <v>114</v>
      </c>
      <c r="E31" s="17" t="n">
        <f aca="false">E24+E29</f>
        <v>51585</v>
      </c>
      <c r="F31" s="18" t="s">
        <v>110</v>
      </c>
    </row>
    <row r="33" customFormat="false" ht="15" hidden="false" customHeight="true" outlineLevel="0" collapsed="false">
      <c r="A33" s="19" t="s">
        <v>111</v>
      </c>
      <c r="B33" s="22" t="n">
        <f aca="false">B31-BP!B54</f>
        <v>29960</v>
      </c>
      <c r="C33" s="22" t="n">
        <f aca="false">C31-BP!C54</f>
        <v>24126</v>
      </c>
      <c r="D33" s="22" t="n">
        <f aca="false">D31-BP!D54</f>
        <v>0</v>
      </c>
      <c r="E33" s="22" t="n">
        <f aca="false">E31-BP!E54</f>
        <v>0</v>
      </c>
      <c r="F33" s="21" t="s">
        <v>112</v>
      </c>
    </row>
    <row r="35" customFormat="false" ht="18" hidden="false" customHeight="true" outlineLevel="0" collapsed="false">
      <c r="A35" s="6" t="s">
        <v>113</v>
      </c>
      <c r="B35" s="6"/>
      <c r="C35" s="6"/>
      <c r="D35" s="6"/>
      <c r="E35" s="6"/>
      <c r="F35" s="6"/>
    </row>
    <row r="36" customFormat="false" ht="15" hidden="false" customHeight="true" outlineLevel="0" collapsed="false">
      <c r="A36" s="13" t="s">
        <v>114</v>
      </c>
      <c r="B36" s="14" t="n">
        <f aca="false">B24-B12-B13</f>
        <v>89882</v>
      </c>
      <c r="C36" s="14" t="n">
        <f aca="false">C24-C12-C13</f>
        <v>86438</v>
      </c>
      <c r="D36" s="14" t="n">
        <f aca="false">D24-D12-D13</f>
        <v>105844</v>
      </c>
      <c r="E36" s="14" t="n">
        <f aca="false">E24-E12-E13</f>
        <v>191485</v>
      </c>
      <c r="F36" s="15" t="s">
        <v>115</v>
      </c>
    </row>
    <row r="37" customFormat="false" ht="15" hidden="false" customHeight="true" outlineLevel="0" collapsed="false">
      <c r="A37" s="9" t="s">
        <v>116</v>
      </c>
      <c r="B37" s="10" t="n">
        <v>64202</v>
      </c>
      <c r="C37" s="10" t="n">
        <v>146866</v>
      </c>
      <c r="D37" s="10" t="n">
        <v>105844</v>
      </c>
      <c r="E37" s="10" t="n">
        <v>191485</v>
      </c>
      <c r="F37" s="12" t="s">
        <v>117</v>
      </c>
    </row>
    <row r="38" customFormat="false" ht="15" hidden="false" customHeight="true" outlineLevel="0" collapsed="false">
      <c r="A38" s="13" t="s">
        <v>118</v>
      </c>
      <c r="B38" s="23" t="n">
        <f aca="false">IFERROR(B36/B5,0)</f>
        <v>0.27408647498117</v>
      </c>
      <c r="C38" s="23" t="n">
        <f aca="false">IFERROR(C36/C5,0)</f>
        <v>0.188435906547231</v>
      </c>
      <c r="D38" s="23" t="n">
        <f aca="false">IFERROR(D36/D5,0)</f>
        <v>0.264858967429384</v>
      </c>
      <c r="E38" s="23" t="n">
        <f aca="false">IFERROR(E36/E5,0)</f>
        <v>0.252436899014694</v>
      </c>
      <c r="F38" s="15"/>
    </row>
    <row r="39" customFormat="false" ht="15" hidden="false" customHeight="true" outlineLevel="0" collapsed="false">
      <c r="A39" s="13" t="s">
        <v>119</v>
      </c>
      <c r="B39" s="23" t="n">
        <f aca="false">IFERROR(B24/B5,0)</f>
        <v>0.194384218727606</v>
      </c>
      <c r="C39" s="23" t="n">
        <f aca="false">IFERROR(C24/C5,0)</f>
        <v>0.139054267047152</v>
      </c>
      <c r="D39" s="23" t="n">
        <f aca="false">IFERROR(D24/D5,0)</f>
        <v>0.172091766260285</v>
      </c>
      <c r="E39" s="23" t="n">
        <f aca="false">IFERROR(E24/E5,0)</f>
        <v>0.132318936491656</v>
      </c>
      <c r="F39" s="15"/>
    </row>
    <row r="40" customFormat="false" ht="15" hidden="false" customHeight="true" outlineLevel="0" collapsed="false">
      <c r="A40" s="13" t="s">
        <v>120</v>
      </c>
      <c r="B40" s="23" t="n">
        <f aca="false">IFERROR(B31/B5,0)</f>
        <v>0.0913601253914672</v>
      </c>
      <c r="C40" s="23" t="n">
        <f aca="false">IFERROR(C31/C5,0)</f>
        <v>0.0525949776875737</v>
      </c>
      <c r="D40" s="23" t="n">
        <f aca="false">IFERROR(D31/D5,0)</f>
        <v>0.000285268152062939</v>
      </c>
      <c r="E40" s="23" t="n">
        <f aca="false">IFERROR(E31/E5,0)</f>
        <v>0.0680051045025615</v>
      </c>
      <c r="F40" s="15"/>
    </row>
  </sheetData>
  <mergeCells count="6">
    <mergeCell ref="A1:F1"/>
    <mergeCell ref="A2:F2"/>
    <mergeCell ref="A7:F7"/>
    <mergeCell ref="A19:F19"/>
    <mergeCell ref="A26:F26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8" min="2" style="1" width="14"/>
    <col collapsed="false" customWidth="true" hidden="false" outlineLevel="0" max="9" min="9" style="1" width="55"/>
  </cols>
  <sheetData>
    <row r="1" customFormat="false" ht="21.75" hidden="false" customHeight="true" outlineLevel="0" collapsed="false">
      <c r="A1" s="2" t="s">
        <v>121</v>
      </c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3" t="s">
        <v>122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24" t="s">
        <v>123</v>
      </c>
      <c r="B4" s="5" t="s">
        <v>124</v>
      </c>
      <c r="C4" s="5" t="s">
        <v>125</v>
      </c>
      <c r="D4" s="5" t="s">
        <v>126</v>
      </c>
      <c r="E4" s="5" t="s">
        <v>127</v>
      </c>
      <c r="F4" s="4" t="s">
        <v>128</v>
      </c>
      <c r="G4" s="4" t="s">
        <v>129</v>
      </c>
      <c r="H4" s="4" t="s">
        <v>130</v>
      </c>
      <c r="I4" s="4" t="s">
        <v>6</v>
      </c>
    </row>
    <row r="5" customFormat="false" ht="18" hidden="false" customHeight="true" outlineLevel="0" collapsed="false">
      <c r="A5" s="6" t="s">
        <v>131</v>
      </c>
      <c r="B5" s="6"/>
      <c r="C5" s="6"/>
      <c r="D5" s="6"/>
      <c r="E5" s="6"/>
      <c r="F5" s="6"/>
      <c r="G5" s="6"/>
      <c r="H5" s="6"/>
      <c r="I5" s="6"/>
    </row>
    <row r="6" customFormat="false" ht="15" hidden="false" customHeight="true" outlineLevel="0" collapsed="false">
      <c r="A6" s="9" t="s">
        <v>132</v>
      </c>
      <c r="B6" s="10" t="n">
        <v>105415</v>
      </c>
      <c r="C6" s="10" t="n">
        <v>50333</v>
      </c>
      <c r="D6" s="10" t="n">
        <v>109593</v>
      </c>
      <c r="E6" s="10" t="n">
        <v>93930</v>
      </c>
      <c r="F6" s="10" t="n">
        <v>16106</v>
      </c>
      <c r="G6" s="10" t="n">
        <v>268169</v>
      </c>
      <c r="H6" s="10" t="n">
        <v>233378</v>
      </c>
      <c r="I6" s="12" t="s">
        <v>133</v>
      </c>
    </row>
    <row r="7" customFormat="false" ht="21.75" hidden="false" customHeight="true" outlineLevel="0" collapsed="false">
      <c r="A7" s="9" t="s">
        <v>134</v>
      </c>
      <c r="B7" s="10" t="n">
        <v>80167</v>
      </c>
      <c r="C7" s="10" t="n">
        <v>69446</v>
      </c>
      <c r="D7" s="10" t="n">
        <v>95723</v>
      </c>
      <c r="E7" s="10" t="n">
        <v>83132</v>
      </c>
      <c r="F7" s="10" t="n">
        <v>89122</v>
      </c>
      <c r="G7" s="10" t="n">
        <v>98285</v>
      </c>
      <c r="H7" s="10" t="n">
        <v>162375</v>
      </c>
      <c r="I7" s="12" t="s">
        <v>135</v>
      </c>
    </row>
    <row r="8" customFormat="false" ht="21.75" hidden="false" customHeight="true" outlineLevel="0" collapsed="false">
      <c r="A8" s="9" t="s">
        <v>136</v>
      </c>
      <c r="B8" s="10" t="n">
        <v>27933</v>
      </c>
      <c r="C8" s="10" t="n">
        <v>18287</v>
      </c>
      <c r="D8" s="10" t="n">
        <v>81079</v>
      </c>
      <c r="E8" s="10" t="n">
        <v>68290</v>
      </c>
      <c r="F8" s="10" t="n">
        <v>188111</v>
      </c>
      <c r="G8" s="10" t="n">
        <v>68411</v>
      </c>
      <c r="H8" s="10" t="n">
        <v>363905</v>
      </c>
      <c r="I8" s="12" t="s">
        <v>137</v>
      </c>
    </row>
    <row r="9" customFormat="false" ht="21.75" hidden="false" customHeight="true" outlineLevel="0" collapsed="false">
      <c r="A9" s="9" t="s">
        <v>138</v>
      </c>
      <c r="B9" s="10" t="n">
        <v>9352</v>
      </c>
      <c r="C9" s="10" t="n">
        <v>9769</v>
      </c>
      <c r="D9" s="10" t="n">
        <v>20102</v>
      </c>
      <c r="E9" s="10" t="n">
        <v>32552</v>
      </c>
      <c r="F9" s="10" t="n">
        <v>49630</v>
      </c>
      <c r="G9" s="10" t="n">
        <v>78274</v>
      </c>
      <c r="H9" s="10" t="n">
        <v>132129</v>
      </c>
      <c r="I9" s="12" t="s">
        <v>139</v>
      </c>
    </row>
    <row r="10" customFormat="false" ht="21.75" hidden="false" customHeight="true" outlineLevel="0" collapsed="false">
      <c r="A10" s="9" t="s">
        <v>140</v>
      </c>
      <c r="B10" s="10" t="n">
        <v>5348</v>
      </c>
      <c r="C10" s="10" t="n">
        <v>10554</v>
      </c>
      <c r="D10" s="10" t="n">
        <v>8762</v>
      </c>
      <c r="E10" s="10" t="n">
        <v>22273</v>
      </c>
      <c r="F10" s="10" t="n">
        <v>56781</v>
      </c>
      <c r="G10" s="10" t="n">
        <v>69864</v>
      </c>
      <c r="H10" s="10" t="n">
        <v>59684</v>
      </c>
      <c r="I10" s="12" t="s">
        <v>141</v>
      </c>
    </row>
    <row r="11" customFormat="false" ht="21.75" hidden="false" customHeight="true" outlineLevel="0" collapsed="false">
      <c r="A11" s="9" t="s">
        <v>142</v>
      </c>
      <c r="B11" s="10" t="n">
        <v>16384</v>
      </c>
      <c r="C11" s="10" t="n">
        <v>3205</v>
      </c>
      <c r="D11" s="10" t="n">
        <v>2555</v>
      </c>
      <c r="E11" s="10" t="n">
        <v>24372</v>
      </c>
      <c r="F11" s="10" t="n">
        <v>39263</v>
      </c>
      <c r="G11" s="10" t="n">
        <v>29192</v>
      </c>
      <c r="H11" s="10" t="n">
        <v>43535</v>
      </c>
      <c r="I11" s="12" t="s">
        <v>143</v>
      </c>
    </row>
    <row r="12" customFormat="false" ht="21.75" hidden="false" customHeight="true" outlineLevel="0" collapsed="false">
      <c r="A12" s="9" t="s">
        <v>144</v>
      </c>
      <c r="B12" s="10" t="n">
        <v>20596</v>
      </c>
      <c r="C12" s="10" t="n">
        <v>32714</v>
      </c>
      <c r="D12" s="10" t="n">
        <v>15819</v>
      </c>
      <c r="E12" s="10" t="n">
        <v>22694</v>
      </c>
      <c r="F12" s="10" t="n">
        <v>35768</v>
      </c>
      <c r="G12" s="10" t="n">
        <v>71981</v>
      </c>
      <c r="H12" s="10" t="n">
        <v>27437</v>
      </c>
      <c r="I12" s="12" t="s">
        <v>145</v>
      </c>
    </row>
    <row r="14" customFormat="false" ht="15" hidden="false" customHeight="true" outlineLevel="0" collapsed="false">
      <c r="A14" s="16" t="s">
        <v>146</v>
      </c>
      <c r="B14" s="17" t="n">
        <f aca="false">B6+B7+B8+B9+B10+B11+B12</f>
        <v>265195</v>
      </c>
      <c r="C14" s="17" t="n">
        <f aca="false">C6+C7+C8+C9+C10+C11+C12</f>
        <v>194308</v>
      </c>
      <c r="D14" s="17" t="n">
        <f aca="false">D6+D7+D8+D9+D10+D11+D12</f>
        <v>333633</v>
      </c>
      <c r="E14" s="17" t="n">
        <f aca="false">E6+E7+E8+E9+E10+E11+E12</f>
        <v>347243</v>
      </c>
      <c r="F14" s="17" t="n">
        <f aca="false">F6+F7+F8+F9+F10+F11+F12</f>
        <v>474781</v>
      </c>
      <c r="G14" s="17" t="n">
        <f aca="false">G6+G7+G8+G9+G10+G11+G12</f>
        <v>684176</v>
      </c>
      <c r="H14" s="17" t="n">
        <f aca="false">H6+H7+H8+H9+H10+H11+H12</f>
        <v>1022443</v>
      </c>
      <c r="I14" s="18" t="s">
        <v>147</v>
      </c>
    </row>
    <row r="16" customFormat="false" ht="18" hidden="false" customHeight="true" outlineLevel="0" collapsed="false">
      <c r="A16" s="6" t="s">
        <v>148</v>
      </c>
      <c r="B16" s="6"/>
      <c r="C16" s="6"/>
      <c r="D16" s="6"/>
      <c r="E16" s="6"/>
      <c r="F16" s="6"/>
      <c r="G16" s="6"/>
      <c r="H16" s="6"/>
      <c r="I16" s="6"/>
    </row>
    <row r="17" customFormat="false" ht="21.75" hidden="false" customHeight="true" outlineLevel="0" collapsed="false">
      <c r="A17" s="9" t="s">
        <v>149</v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331120</v>
      </c>
      <c r="I17" s="12" t="s">
        <v>150</v>
      </c>
    </row>
    <row r="18" customFormat="false" ht="15" hidden="false" customHeight="true" outlineLevel="0" collapsed="false">
      <c r="A18" s="13" t="s">
        <v>151</v>
      </c>
      <c r="B18" s="14" t="n">
        <f aca="false">B8-B17</f>
        <v>27933</v>
      </c>
      <c r="C18" s="14" t="n">
        <f aca="false">C8-C17</f>
        <v>18287</v>
      </c>
      <c r="D18" s="14" t="n">
        <f aca="false">D8-D17</f>
        <v>81079</v>
      </c>
      <c r="E18" s="14" t="n">
        <f aca="false">E8-E17</f>
        <v>68290</v>
      </c>
      <c r="F18" s="14" t="n">
        <f aca="false">F8-F17</f>
        <v>188111</v>
      </c>
      <c r="G18" s="14" t="n">
        <f aca="false">G8-G17</f>
        <v>68411</v>
      </c>
      <c r="H18" s="14" t="n">
        <f aca="false">H8-H17</f>
        <v>32785</v>
      </c>
      <c r="I18" s="15" t="s">
        <v>152</v>
      </c>
    </row>
    <row r="20" customFormat="false" ht="15" hidden="false" customHeight="true" outlineLevel="0" collapsed="false">
      <c r="A20" s="13" t="s">
        <v>153</v>
      </c>
      <c r="B20" s="14" t="n">
        <f aca="false">B14-B6</f>
        <v>159780</v>
      </c>
      <c r="C20" s="14" t="n">
        <f aca="false">C14-C6</f>
        <v>143975</v>
      </c>
      <c r="D20" s="14" t="n">
        <f aca="false">D14-D6</f>
        <v>224040</v>
      </c>
      <c r="E20" s="14" t="n">
        <f aca="false">E14-E6</f>
        <v>253313</v>
      </c>
      <c r="F20" s="14" t="n">
        <f aca="false">F14-F6</f>
        <v>458675</v>
      </c>
      <c r="G20" s="14" t="n">
        <f aca="false">G14-G6</f>
        <v>416007</v>
      </c>
      <c r="H20" s="14" t="n">
        <f aca="false">H14-H6</f>
        <v>789065</v>
      </c>
      <c r="I20" s="15" t="s">
        <v>154</v>
      </c>
    </row>
    <row r="21" customFormat="false" ht="15" hidden="false" customHeight="true" outlineLevel="0" collapsed="false">
      <c r="A21" s="9" t="s">
        <v>155</v>
      </c>
      <c r="B21" s="10"/>
      <c r="C21" s="10"/>
      <c r="D21" s="10"/>
      <c r="E21" s="10" t="n">
        <v>253312</v>
      </c>
      <c r="F21" s="10" t="n">
        <v>458713</v>
      </c>
      <c r="G21" s="10" t="n">
        <v>416007</v>
      </c>
      <c r="H21" s="10" t="n">
        <v>789065</v>
      </c>
      <c r="I21" s="12" t="s">
        <v>156</v>
      </c>
    </row>
    <row r="22" customFormat="false" ht="21.75" hidden="false" customHeight="true" outlineLevel="0" collapsed="false">
      <c r="A22" s="19" t="s">
        <v>157</v>
      </c>
      <c r="B22" s="20"/>
      <c r="C22" s="20"/>
      <c r="D22" s="20"/>
      <c r="E22" s="20"/>
      <c r="F22" s="20"/>
      <c r="G22" s="20"/>
      <c r="H22" s="20"/>
      <c r="I22" s="25" t="s">
        <v>158</v>
      </c>
    </row>
    <row r="24" customFormat="false" ht="15" hidden="false" customHeight="true" outlineLevel="0" collapsed="false">
      <c r="A24" s="13" t="s">
        <v>159</v>
      </c>
      <c r="B24" s="14" t="n">
        <f aca="false">B14-B6-B17</f>
        <v>159780</v>
      </c>
      <c r="C24" s="14" t="n">
        <f aca="false">C14-C6-C17</f>
        <v>143975</v>
      </c>
      <c r="D24" s="14" t="n">
        <f aca="false">D14-D6-D17</f>
        <v>224040</v>
      </c>
      <c r="E24" s="14" t="n">
        <f aca="false">E14-E6-E17</f>
        <v>253313</v>
      </c>
      <c r="F24" s="14" t="n">
        <f aca="false">F14-F6-F17</f>
        <v>458675</v>
      </c>
      <c r="G24" s="14" t="n">
        <f aca="false">G14-G6-G17</f>
        <v>416007</v>
      </c>
      <c r="H24" s="14" t="n">
        <f aca="false">H14-H6-H17</f>
        <v>457945</v>
      </c>
      <c r="I24" s="15" t="s">
        <v>160</v>
      </c>
    </row>
    <row r="25" customFormat="false" ht="42.75" hidden="false" customHeight="true" outlineLevel="0" collapsed="false">
      <c r="A25" s="9" t="s">
        <v>161</v>
      </c>
      <c r="B25" s="10"/>
      <c r="C25" s="10"/>
      <c r="D25" s="10"/>
      <c r="E25" s="10" t="n">
        <v>185022</v>
      </c>
      <c r="F25" s="10" t="n">
        <v>270602</v>
      </c>
      <c r="G25" s="10" t="n">
        <v>347596</v>
      </c>
      <c r="H25" s="10" t="n">
        <v>425160</v>
      </c>
      <c r="I25" s="12" t="s">
        <v>162</v>
      </c>
    </row>
    <row r="26" customFormat="false" ht="32.25" hidden="false" customHeight="true" outlineLevel="0" collapsed="false">
      <c r="A26" s="19" t="s">
        <v>163</v>
      </c>
      <c r="B26" s="20" t="n">
        <f aca="false">IFERROR(B24-B25,0)</f>
        <v>159780</v>
      </c>
      <c r="C26" s="20" t="n">
        <f aca="false">IFERROR(C24-C25,0)</f>
        <v>143975</v>
      </c>
      <c r="D26" s="20" t="n">
        <f aca="false">IFERROR(D24-D25,0)</f>
        <v>224040</v>
      </c>
      <c r="E26" s="20" t="n">
        <f aca="false">IFERROR(E24-E25,0)</f>
        <v>68291</v>
      </c>
      <c r="F26" s="20" t="n">
        <f aca="false">IFERROR(F24-F25,0)</f>
        <v>188073</v>
      </c>
      <c r="G26" s="20" t="n">
        <f aca="false">IFERROR(G24-G25,0)</f>
        <v>68411</v>
      </c>
      <c r="H26" s="20" t="n">
        <f aca="false">IFERROR(H24-H25,0)</f>
        <v>32785</v>
      </c>
      <c r="I26" s="12" t="s">
        <v>164</v>
      </c>
    </row>
    <row r="28" customFormat="false" ht="18" hidden="false" customHeight="true" outlineLevel="0" collapsed="false">
      <c r="A28" s="6" t="s">
        <v>165</v>
      </c>
      <c r="B28" s="6"/>
      <c r="C28" s="6"/>
      <c r="D28" s="6"/>
      <c r="E28" s="6"/>
      <c r="F28" s="6"/>
      <c r="G28" s="6"/>
      <c r="H28" s="6"/>
      <c r="I28" s="6"/>
    </row>
    <row r="29" customFormat="false" ht="15" hidden="false" customHeight="true" outlineLevel="0" collapsed="false">
      <c r="A29" s="13" t="s">
        <v>166</v>
      </c>
      <c r="B29" s="14"/>
      <c r="C29" s="23" t="n">
        <f aca="false">IFERROR((C14/B14)-1,0)</f>
        <v>-0.267301419710025</v>
      </c>
      <c r="D29" s="23" t="n">
        <f aca="false">IFERROR((D14/C14)-1,0)</f>
        <v>0.717031722831793</v>
      </c>
      <c r="E29" s="23" t="n">
        <f aca="false">IFERROR((E14/D14)-1,0)</f>
        <v>0.0407933267992076</v>
      </c>
      <c r="F29" s="23" t="n">
        <f aca="false">IFERROR((F14/E14)-1,0)</f>
        <v>0.367287461518303</v>
      </c>
      <c r="G29" s="23" t="n">
        <f aca="false">IFERROR((G14/F14)-1,0)</f>
        <v>0.44103491925751</v>
      </c>
      <c r="H29" s="23" t="n">
        <f aca="false">IFERROR((H14/G14)-1,0)</f>
        <v>0.494415179719838</v>
      </c>
      <c r="I29" s="15"/>
    </row>
    <row r="30" customFormat="false" ht="15" hidden="false" customHeight="true" outlineLevel="0" collapsed="false">
      <c r="A30" s="13" t="s">
        <v>167</v>
      </c>
      <c r="B30" s="14"/>
      <c r="C30" s="23" t="n">
        <f aca="false">IFERROR((C24/B24)-1,0)</f>
        <v>-0.098917261234197</v>
      </c>
      <c r="D30" s="23" t="n">
        <f aca="false">IFERROR((D24/C24)-1,0)</f>
        <v>0.556103490189269</v>
      </c>
      <c r="E30" s="23" t="n">
        <f aca="false">IFERROR((E24/D24)-1,0)</f>
        <v>0.130659703624353</v>
      </c>
      <c r="F30" s="23" t="n">
        <f aca="false">IFERROR((F24/E24)-1,0)</f>
        <v>0.810704543390983</v>
      </c>
      <c r="G30" s="23" t="n">
        <f aca="false">IFERROR((G24/F24)-1,0)</f>
        <v>-0.0930244726658309</v>
      </c>
      <c r="H30" s="23" t="n">
        <f aca="false">IFERROR((H24/G24)-1,0)</f>
        <v>0.100810803664361</v>
      </c>
      <c r="I30" s="15" t="s">
        <v>168</v>
      </c>
    </row>
    <row r="32" customFormat="false" ht="18" hidden="false" customHeight="true" outlineLevel="0" collapsed="false">
      <c r="A32" s="6" t="s">
        <v>169</v>
      </c>
      <c r="B32" s="6"/>
      <c r="C32" s="6"/>
      <c r="D32" s="6"/>
      <c r="E32" s="6"/>
      <c r="F32" s="6"/>
      <c r="G32" s="6"/>
      <c r="H32" s="6"/>
      <c r="I32" s="6"/>
    </row>
    <row r="33" customFormat="false" ht="15" hidden="false" customHeight="true" outlineLevel="0" collapsed="false">
      <c r="A33" s="13" t="s">
        <v>170</v>
      </c>
      <c r="B33" s="23" t="n">
        <f aca="false">IFERROR(B6/B14,0)</f>
        <v>0.397499952864873</v>
      </c>
      <c r="C33" s="23" t="n">
        <f aca="false">IFERROR(C6/C14,0)</f>
        <v>0.25903719867427</v>
      </c>
      <c r="D33" s="23" t="n">
        <f aca="false">IFERROR(D6/D14,0)</f>
        <v>0.328483693159849</v>
      </c>
      <c r="E33" s="23" t="n">
        <f aca="false">IFERROR(E6/E14,0)</f>
        <v>0.270502213147565</v>
      </c>
      <c r="F33" s="23" t="n">
        <f aca="false">IFERROR(F6/F14,0)</f>
        <v>0.0339230087134911</v>
      </c>
      <c r="G33" s="23" t="n">
        <f aca="false">IFERROR(G6/G14,0)</f>
        <v>0.391959086550829</v>
      </c>
      <c r="H33" s="23" t="n">
        <f aca="false">IFERROR(H6/H14,0)</f>
        <v>0.228255267041781</v>
      </c>
      <c r="I33" s="15"/>
    </row>
    <row r="34" customFormat="false" ht="15" hidden="false" customHeight="true" outlineLevel="0" collapsed="false">
      <c r="A34" s="13" t="s">
        <v>171</v>
      </c>
      <c r="B34" s="23" t="n">
        <f aca="false">IFERROR(B7/B14,0)</f>
        <v>0.302294537981485</v>
      </c>
      <c r="C34" s="23" t="n">
        <f aca="false">IFERROR(C7/C14,0)</f>
        <v>0.357401650987093</v>
      </c>
      <c r="D34" s="23" t="n">
        <f aca="false">IFERROR(D7/D14,0)</f>
        <v>0.286911066950811</v>
      </c>
      <c r="E34" s="23" t="n">
        <f aca="false">IFERROR(E7/E14,0)</f>
        <v>0.239405833954896</v>
      </c>
      <c r="F34" s="23" t="n">
        <f aca="false">IFERROR(F7/F14,0)</f>
        <v>0.187711808181035</v>
      </c>
      <c r="G34" s="23" t="n">
        <f aca="false">IFERROR(G7/G14,0)</f>
        <v>0.143654556722247</v>
      </c>
      <c r="H34" s="23" t="n">
        <f aca="false">IFERROR(H7/H14,0)</f>
        <v>0.158810809013314</v>
      </c>
      <c r="I34" s="15"/>
    </row>
    <row r="35" customFormat="false" ht="15" hidden="false" customHeight="true" outlineLevel="0" collapsed="false">
      <c r="A35" s="13" t="s">
        <v>172</v>
      </c>
      <c r="B35" s="23" t="n">
        <f aca="false">IFERROR(B8/B14,0)</f>
        <v>0.105330040159128</v>
      </c>
      <c r="C35" s="23" t="n">
        <f aca="false">IFERROR(C8/C14,0)</f>
        <v>0.0941134693373407</v>
      </c>
      <c r="D35" s="23" t="n">
        <f aca="false">IFERROR(D8/D14,0)</f>
        <v>0.243018526344816</v>
      </c>
      <c r="E35" s="23" t="n">
        <f aca="false">IFERROR(E8/E14,0)</f>
        <v>0.196663431660249</v>
      </c>
      <c r="F35" s="23" t="n">
        <f aca="false">IFERROR(F8/F14,0)</f>
        <v>0.396205829635137</v>
      </c>
      <c r="G35" s="23" t="n">
        <f aca="false">IFERROR(G8/G14,0)</f>
        <v>0.0999903533593695</v>
      </c>
      <c r="H35" s="23" t="n">
        <f aca="false">IFERROR(H8/H14,0)</f>
        <v>0.355917151371764</v>
      </c>
      <c r="I35" s="15"/>
    </row>
    <row r="36" customFormat="false" ht="15" hidden="false" customHeight="true" outlineLevel="0" collapsed="false">
      <c r="A36" s="13" t="s">
        <v>173</v>
      </c>
      <c r="B36" s="23" t="n">
        <f aca="false">IFERROR(B9/B14,0)</f>
        <v>0.0352646166028771</v>
      </c>
      <c r="C36" s="23" t="n">
        <f aca="false">IFERROR(C9/C14,0)</f>
        <v>0.0502758507112419</v>
      </c>
      <c r="D36" s="23" t="n">
        <f aca="false">IFERROR(D9/D14,0)</f>
        <v>0.0602518336015922</v>
      </c>
      <c r="E36" s="23" t="n">
        <f aca="false">IFERROR(E9/E14,0)</f>
        <v>0.0937441503500431</v>
      </c>
      <c r="F36" s="23" t="n">
        <f aca="false">IFERROR(F9/F14,0)</f>
        <v>0.104532405466942</v>
      </c>
      <c r="G36" s="23" t="n">
        <f aca="false">IFERROR(G9/G14,0)</f>
        <v>0.114406234653072</v>
      </c>
      <c r="H36" s="23" t="n">
        <f aca="false">IFERROR(H9/H14,0)</f>
        <v>0.129228719840617</v>
      </c>
      <c r="I36" s="15"/>
    </row>
    <row r="37" customFormat="false" ht="15" hidden="false" customHeight="true" outlineLevel="0" collapsed="false">
      <c r="A37" s="13" t="s">
        <v>174</v>
      </c>
      <c r="B37" s="23" t="n">
        <f aca="false">IFERROR(B10/B14,0)</f>
        <v>0.0201662927279926</v>
      </c>
      <c r="C37" s="23" t="n">
        <f aca="false">IFERROR(C10/C14,0)</f>
        <v>0.0543158284784981</v>
      </c>
      <c r="D37" s="23" t="n">
        <f aca="false">IFERROR(D10/D14,0)</f>
        <v>0.02626239011129</v>
      </c>
      <c r="E37" s="23" t="n">
        <f aca="false">IFERROR(E10/E14,0)</f>
        <v>0.0641424017186812</v>
      </c>
      <c r="F37" s="23" t="n">
        <f aca="false">IFERROR(F10/F14,0)</f>
        <v>0.11959408653674</v>
      </c>
      <c r="G37" s="23" t="n">
        <f aca="false">IFERROR(G10/G14,0)</f>
        <v>0.102114075910292</v>
      </c>
      <c r="H37" s="23" t="n">
        <f aca="false">IFERROR(H10/H14,0)</f>
        <v>0.0583739142426522</v>
      </c>
      <c r="I37" s="15"/>
    </row>
    <row r="38" customFormat="false" ht="15" hidden="false" customHeight="true" outlineLevel="0" collapsed="false">
      <c r="A38" s="13" t="s">
        <v>175</v>
      </c>
      <c r="B38" s="23" t="n">
        <f aca="false">IFERROR(B11/B14,0)</f>
        <v>0.0617809536378891</v>
      </c>
      <c r="C38" s="23" t="n">
        <f aca="false">IFERROR(C11/C14,0)</f>
        <v>0.0164944315210902</v>
      </c>
      <c r="D38" s="23" t="n">
        <f aca="false">IFERROR(D11/D14,0)</f>
        <v>0.00765811535429649</v>
      </c>
      <c r="E38" s="23" t="n">
        <f aca="false">IFERROR(E11/E14,0)</f>
        <v>0.0701871600003456</v>
      </c>
      <c r="F38" s="23" t="n">
        <f aca="false">IFERROR(F11/F14,0)</f>
        <v>0.0826970750725071</v>
      </c>
      <c r="G38" s="23" t="n">
        <f aca="false">IFERROR(G11/G14,0)</f>
        <v>0.042667383831061</v>
      </c>
      <c r="H38" s="23" t="n">
        <f aca="false">IFERROR(H11/H14,0)</f>
        <v>0.0425793907337622</v>
      </c>
      <c r="I38" s="15"/>
    </row>
    <row r="39" customFormat="false" ht="15" hidden="false" customHeight="true" outlineLevel="0" collapsed="false">
      <c r="A39" s="13" t="s">
        <v>176</v>
      </c>
      <c r="B39" s="23" t="n">
        <f aca="false">IFERROR(B12/B14,0)</f>
        <v>0.0776636060257546</v>
      </c>
      <c r="C39" s="23" t="n">
        <f aca="false">IFERROR(C12/C14,0)</f>
        <v>0.168361570290467</v>
      </c>
      <c r="D39" s="23" t="n">
        <f aca="false">IFERROR(D12/D14,0)</f>
        <v>0.0474143744773449</v>
      </c>
      <c r="E39" s="23" t="n">
        <f aca="false">IFERROR(E12/E14,0)</f>
        <v>0.0653548091682194</v>
      </c>
      <c r="F39" s="23" t="n">
        <f aca="false">IFERROR(F12/F14,0)</f>
        <v>0.075335786394148</v>
      </c>
      <c r="G39" s="23" t="n">
        <f aca="false">IFERROR(G12/G14,0)</f>
        <v>0.10520830897313</v>
      </c>
      <c r="H39" s="23" t="n">
        <f aca="false">IFERROR(H12/H14,0)</f>
        <v>0.0268347477561096</v>
      </c>
      <c r="I39" s="15"/>
    </row>
  </sheetData>
  <mergeCells count="6">
    <mergeCell ref="A1:I1"/>
    <mergeCell ref="A2:I2"/>
    <mergeCell ref="A5:I5"/>
    <mergeCell ref="A16:I16"/>
    <mergeCell ref="A28:I28"/>
    <mergeCell ref="A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4" min="2" style="1" width="16"/>
    <col collapsed="false" customWidth="true" hidden="false" outlineLevel="0" max="5" min="5" style="1" width="60"/>
  </cols>
  <sheetData>
    <row r="1" customFormat="false" ht="21.75" hidden="false" customHeight="true" outlineLevel="0" collapsed="false">
      <c r="A1" s="2" t="s">
        <v>177</v>
      </c>
      <c r="B1" s="2"/>
      <c r="C1" s="2"/>
      <c r="D1" s="2"/>
      <c r="E1" s="2"/>
    </row>
    <row r="2" customFormat="false" ht="30" hidden="false" customHeight="true" outlineLevel="0" collapsed="false">
      <c r="A2" s="3" t="s">
        <v>178</v>
      </c>
      <c r="B2" s="3"/>
      <c r="C2" s="3"/>
      <c r="D2" s="3"/>
      <c r="E2" s="3"/>
    </row>
    <row r="4" customFormat="false" ht="15" hidden="false" customHeight="true" outlineLevel="0" collapsed="false">
      <c r="A4" s="4"/>
      <c r="B4" s="4" t="s">
        <v>179</v>
      </c>
      <c r="C4" s="4" t="s">
        <v>129</v>
      </c>
      <c r="D4" s="4" t="s">
        <v>130</v>
      </c>
      <c r="E4" s="4" t="s">
        <v>6</v>
      </c>
    </row>
    <row r="5" customFormat="false" ht="18" hidden="false" customHeight="true" outlineLevel="0" collapsed="false">
      <c r="A5" s="6" t="s">
        <v>180</v>
      </c>
      <c r="B5" s="6"/>
      <c r="C5" s="6"/>
      <c r="D5" s="6"/>
      <c r="E5" s="6"/>
    </row>
    <row r="6" customFormat="false" ht="15" hidden="false" customHeight="true" outlineLevel="0" collapsed="false">
      <c r="A6" s="9" t="s">
        <v>181</v>
      </c>
      <c r="B6" s="10" t="n">
        <v>78721</v>
      </c>
      <c r="C6" s="10" t="n">
        <v>114</v>
      </c>
      <c r="D6" s="10" t="n">
        <v>51585</v>
      </c>
      <c r="E6" s="11"/>
    </row>
    <row r="7" customFormat="false" ht="15" hidden="false" customHeight="true" outlineLevel="0" collapsed="false">
      <c r="A7" s="7" t="s">
        <v>182</v>
      </c>
      <c r="B7" s="8"/>
      <c r="C7" s="8"/>
      <c r="D7" s="8"/>
      <c r="E7" s="8"/>
    </row>
    <row r="8" customFormat="false" ht="15" hidden="false" customHeight="true" outlineLevel="0" collapsed="false">
      <c r="A8" s="9" t="s">
        <v>183</v>
      </c>
      <c r="B8" s="10" t="n">
        <v>18540</v>
      </c>
      <c r="C8" s="10" t="n">
        <v>14511</v>
      </c>
      <c r="D8" s="10" t="n">
        <v>84225</v>
      </c>
      <c r="E8" s="12" t="s">
        <v>184</v>
      </c>
    </row>
    <row r="9" customFormat="false" ht="15" hidden="false" customHeight="true" outlineLevel="0" collapsed="false">
      <c r="A9" s="9" t="s">
        <v>185</v>
      </c>
      <c r="B9" s="10" t="n">
        <v>4112</v>
      </c>
      <c r="C9" s="10" t="n">
        <v>4444</v>
      </c>
      <c r="D9" s="10" t="n">
        <v>6762</v>
      </c>
      <c r="E9" s="11"/>
    </row>
    <row r="10" customFormat="false" ht="15" hidden="false" customHeight="true" outlineLevel="0" collapsed="false">
      <c r="A10" s="9" t="s">
        <v>186</v>
      </c>
      <c r="B10" s="10" t="n">
        <v>-9520</v>
      </c>
      <c r="C10" s="10" t="n">
        <v>2377</v>
      </c>
      <c r="D10" s="10" t="n">
        <v>30861</v>
      </c>
      <c r="E10" s="12" t="s">
        <v>187</v>
      </c>
    </row>
    <row r="11" customFormat="false" ht="15" hidden="false" customHeight="true" outlineLevel="0" collapsed="false">
      <c r="A11" s="9" t="s">
        <v>188</v>
      </c>
      <c r="B11" s="10" t="n">
        <v>7820</v>
      </c>
      <c r="C11" s="10" t="n">
        <v>12210</v>
      </c>
      <c r="D11" s="10" t="n">
        <v>5519</v>
      </c>
      <c r="E11" s="11"/>
    </row>
    <row r="12" customFormat="false" ht="15" hidden="false" customHeight="true" outlineLevel="0" collapsed="false">
      <c r="A12" s="9" t="s">
        <v>189</v>
      </c>
      <c r="B12" s="10" t="n">
        <v>21850</v>
      </c>
      <c r="C12" s="10" t="n">
        <v>43120</v>
      </c>
      <c r="D12" s="10" t="n">
        <v>139258</v>
      </c>
      <c r="E12" s="12" t="s">
        <v>190</v>
      </c>
    </row>
    <row r="13" customFormat="false" ht="15" hidden="false" customHeight="true" outlineLevel="0" collapsed="false">
      <c r="A13" s="9" t="s">
        <v>191</v>
      </c>
      <c r="B13" s="10" t="n">
        <v>-3120</v>
      </c>
      <c r="C13" s="10" t="n">
        <v>-3058</v>
      </c>
      <c r="D13" s="10" t="n">
        <v>-90891</v>
      </c>
      <c r="E13" s="12" t="s">
        <v>192</v>
      </c>
    </row>
    <row r="14" customFormat="false" ht="15" hidden="false" customHeight="true" outlineLevel="0" collapsed="false">
      <c r="A14" s="9" t="s">
        <v>193</v>
      </c>
      <c r="B14" s="10" t="n">
        <v>0</v>
      </c>
      <c r="C14" s="10" t="n">
        <v>-9583</v>
      </c>
      <c r="D14" s="10" t="n">
        <v>0</v>
      </c>
      <c r="E14" s="11"/>
    </row>
    <row r="15" customFormat="false" ht="15" hidden="false" customHeight="true" outlineLevel="0" collapsed="false">
      <c r="A15" s="9" t="s">
        <v>194</v>
      </c>
      <c r="B15" s="10" t="n">
        <v>0</v>
      </c>
      <c r="C15" s="10" t="n">
        <v>-48530</v>
      </c>
      <c r="D15" s="10" t="n">
        <v>0</v>
      </c>
      <c r="E15" s="12" t="s">
        <v>195</v>
      </c>
    </row>
    <row r="16" customFormat="false" ht="15" hidden="false" customHeight="true" outlineLevel="0" collapsed="false">
      <c r="A16" s="9" t="s">
        <v>196</v>
      </c>
      <c r="B16" s="10" t="n">
        <v>0</v>
      </c>
      <c r="C16" s="10" t="n">
        <v>344359</v>
      </c>
      <c r="D16" s="10" t="n">
        <v>335568</v>
      </c>
      <c r="E16" s="11"/>
    </row>
    <row r="17" customFormat="false" ht="15" hidden="false" customHeight="true" outlineLevel="0" collapsed="false">
      <c r="A17" s="9" t="s">
        <v>197</v>
      </c>
      <c r="B17" s="10" t="n">
        <v>0</v>
      </c>
      <c r="C17" s="10" t="n">
        <v>0</v>
      </c>
      <c r="D17" s="10" t="n">
        <v>-7505</v>
      </c>
      <c r="E17" s="12" t="s">
        <v>198</v>
      </c>
    </row>
    <row r="18" customFormat="false" ht="15" hidden="false" customHeight="true" outlineLevel="0" collapsed="false">
      <c r="A18" s="13" t="s">
        <v>199</v>
      </c>
      <c r="B18" s="14" t="n">
        <f aca="false">SUM(B6:B17)</f>
        <v>118403</v>
      </c>
      <c r="C18" s="14" t="n">
        <f aca="false">SUM(C6:C17)</f>
        <v>359964</v>
      </c>
      <c r="D18" s="14" t="n">
        <f aca="false">SUM(D6:D17)</f>
        <v>555382</v>
      </c>
      <c r="E18" s="15" t="s">
        <v>16</v>
      </c>
    </row>
    <row r="20" customFormat="false" ht="18" hidden="false" customHeight="true" outlineLevel="0" collapsed="false">
      <c r="A20" s="6" t="s">
        <v>200</v>
      </c>
      <c r="B20" s="6"/>
      <c r="C20" s="6"/>
      <c r="D20" s="6"/>
      <c r="E20" s="6"/>
    </row>
    <row r="21" customFormat="false" ht="15" hidden="false" customHeight="true" outlineLevel="0" collapsed="false">
      <c r="A21" s="9" t="s">
        <v>10</v>
      </c>
      <c r="B21" s="10" t="n">
        <v>60000</v>
      </c>
      <c r="C21" s="10" t="n">
        <v>21623</v>
      </c>
      <c r="D21" s="10" t="n">
        <v>45503</v>
      </c>
      <c r="E21" s="12" t="s">
        <v>201</v>
      </c>
    </row>
    <row r="22" customFormat="false" ht="15" hidden="false" customHeight="true" outlineLevel="0" collapsed="false">
      <c r="A22" s="9" t="s">
        <v>12</v>
      </c>
      <c r="B22" s="10" t="n">
        <v>-150000</v>
      </c>
      <c r="C22" s="10" t="n">
        <v>-422388</v>
      </c>
      <c r="D22" s="10" t="n">
        <v>-329249</v>
      </c>
      <c r="E22" s="12" t="s">
        <v>202</v>
      </c>
    </row>
    <row r="23" customFormat="false" ht="15" hidden="false" customHeight="true" outlineLevel="0" collapsed="false">
      <c r="A23" s="9" t="s">
        <v>13</v>
      </c>
      <c r="B23" s="10" t="n">
        <v>10000</v>
      </c>
      <c r="C23" s="10" t="n">
        <v>13185</v>
      </c>
      <c r="D23" s="10" t="n">
        <v>-11584</v>
      </c>
      <c r="E23" s="11"/>
    </row>
    <row r="24" customFormat="false" ht="15" hidden="false" customHeight="true" outlineLevel="0" collapsed="false">
      <c r="A24" s="9" t="s">
        <v>19</v>
      </c>
      <c r="B24" s="10" t="n">
        <v>5000</v>
      </c>
      <c r="C24" s="10" t="n">
        <v>1938</v>
      </c>
      <c r="D24" s="10" t="n">
        <v>390</v>
      </c>
      <c r="E24" s="11"/>
    </row>
    <row r="25" customFormat="false" ht="15" hidden="false" customHeight="true" outlineLevel="0" collapsed="false">
      <c r="A25" s="9" t="s">
        <v>14</v>
      </c>
      <c r="B25" s="10" t="n">
        <v>1500</v>
      </c>
      <c r="C25" s="10" t="n">
        <v>1326</v>
      </c>
      <c r="D25" s="10" t="n">
        <v>3239</v>
      </c>
      <c r="E25" s="11"/>
    </row>
    <row r="26" customFormat="false" ht="15" hidden="false" customHeight="true" outlineLevel="0" collapsed="false">
      <c r="A26" s="9" t="s">
        <v>203</v>
      </c>
      <c r="B26" s="10" t="n">
        <v>2000</v>
      </c>
      <c r="C26" s="10" t="n">
        <v>562</v>
      </c>
      <c r="D26" s="10" t="n">
        <v>24141</v>
      </c>
      <c r="E26" s="11"/>
    </row>
    <row r="27" customFormat="false" ht="15" hidden="false" customHeight="true" outlineLevel="0" collapsed="false">
      <c r="A27" s="9" t="s">
        <v>204</v>
      </c>
      <c r="B27" s="10" t="n">
        <v>8000</v>
      </c>
      <c r="C27" s="10" t="n">
        <v>41291</v>
      </c>
      <c r="D27" s="10" t="n">
        <v>144578</v>
      </c>
      <c r="E27" s="12" t="s">
        <v>205</v>
      </c>
    </row>
    <row r="28" customFormat="false" ht="15" hidden="false" customHeight="true" outlineLevel="0" collapsed="false">
      <c r="A28" s="9" t="s">
        <v>206</v>
      </c>
      <c r="B28" s="10" t="n">
        <v>-5000</v>
      </c>
      <c r="C28" s="10" t="n">
        <v>-6352</v>
      </c>
      <c r="D28" s="10" t="n">
        <v>4277</v>
      </c>
      <c r="E28" s="11"/>
    </row>
    <row r="29" customFormat="false" ht="15" hidden="false" customHeight="true" outlineLevel="0" collapsed="false">
      <c r="A29" s="9" t="s">
        <v>207</v>
      </c>
      <c r="B29" s="10" t="n">
        <v>18000</v>
      </c>
      <c r="C29" s="10" t="n">
        <v>18609</v>
      </c>
      <c r="D29" s="10" t="n">
        <v>-6474</v>
      </c>
      <c r="E29" s="11"/>
    </row>
    <row r="30" customFormat="false" ht="15" hidden="false" customHeight="true" outlineLevel="0" collapsed="false">
      <c r="A30" s="9" t="s">
        <v>208</v>
      </c>
      <c r="B30" s="10" t="n">
        <v>10000</v>
      </c>
      <c r="C30" s="10" t="n">
        <v>5698</v>
      </c>
      <c r="D30" s="10" t="n">
        <v>-5755</v>
      </c>
      <c r="E30" s="11"/>
    </row>
    <row r="31" customFormat="false" ht="15" hidden="false" customHeight="true" outlineLevel="0" collapsed="false">
      <c r="A31" s="9" t="s">
        <v>209</v>
      </c>
      <c r="B31" s="10" t="n">
        <v>15000</v>
      </c>
      <c r="C31" s="10" t="n">
        <v>19542</v>
      </c>
      <c r="D31" s="10" t="n">
        <v>-75763</v>
      </c>
      <c r="E31" s="12" t="s">
        <v>210</v>
      </c>
    </row>
    <row r="32" customFormat="false" ht="15" hidden="false" customHeight="true" outlineLevel="0" collapsed="false">
      <c r="A32" s="9" t="s">
        <v>211</v>
      </c>
      <c r="B32" s="10" t="n">
        <v>-8000</v>
      </c>
      <c r="C32" s="10" t="n">
        <v>-13626</v>
      </c>
      <c r="D32" s="10" t="n">
        <v>-12035</v>
      </c>
      <c r="E32" s="11"/>
    </row>
    <row r="33" customFormat="false" ht="15" hidden="false" customHeight="true" outlineLevel="0" collapsed="false">
      <c r="A33" s="9" t="s">
        <v>43</v>
      </c>
      <c r="B33" s="10" t="n">
        <v>-10000</v>
      </c>
      <c r="C33" s="10" t="n">
        <v>-15536</v>
      </c>
      <c r="D33" s="10" t="n">
        <v>-4315</v>
      </c>
      <c r="E33" s="11"/>
    </row>
    <row r="34" customFormat="false" ht="15" hidden="false" customHeight="true" outlineLevel="0" collapsed="false">
      <c r="A34" s="9" t="s">
        <v>44</v>
      </c>
      <c r="B34" s="10" t="n">
        <v>5000</v>
      </c>
      <c r="C34" s="10" t="n">
        <v>10172</v>
      </c>
      <c r="D34" s="10" t="n">
        <v>-6298</v>
      </c>
      <c r="E34" s="11"/>
    </row>
    <row r="35" customFormat="false" ht="15" hidden="false" customHeight="true" outlineLevel="0" collapsed="false">
      <c r="A35" s="9" t="s">
        <v>212</v>
      </c>
      <c r="B35" s="10" t="n">
        <v>-500</v>
      </c>
      <c r="C35" s="10" t="n">
        <v>-416</v>
      </c>
      <c r="D35" s="10" t="n">
        <v>-2604</v>
      </c>
      <c r="E35" s="11"/>
    </row>
    <row r="36" customFormat="false" ht="15" hidden="false" customHeight="true" outlineLevel="0" collapsed="false">
      <c r="A36" s="9" t="s">
        <v>213</v>
      </c>
      <c r="B36" s="10" t="n">
        <v>-15000</v>
      </c>
      <c r="C36" s="10" t="n">
        <v>-13268</v>
      </c>
      <c r="D36" s="10" t="n">
        <v>-9755</v>
      </c>
      <c r="E36" s="11"/>
    </row>
    <row r="37" customFormat="false" ht="15" hidden="false" customHeight="true" outlineLevel="0" collapsed="false">
      <c r="A37" s="13" t="s">
        <v>214</v>
      </c>
      <c r="B37" s="14" t="n">
        <f aca="false">B18+SUM(B21:B36)</f>
        <v>64403</v>
      </c>
      <c r="C37" s="14" t="n">
        <f aca="false">C18+SUM(C21:C36)</f>
        <v>22324</v>
      </c>
      <c r="D37" s="14" t="n">
        <f aca="false">D18+SUM(D21:D36)</f>
        <v>313678</v>
      </c>
      <c r="E37" s="15"/>
    </row>
    <row r="39" customFormat="false" ht="18" hidden="false" customHeight="true" outlineLevel="0" collapsed="false">
      <c r="A39" s="6" t="s">
        <v>215</v>
      </c>
      <c r="B39" s="6"/>
      <c r="C39" s="6"/>
      <c r="D39" s="6"/>
      <c r="E39" s="6"/>
    </row>
    <row r="40" customFormat="false" ht="21.75" hidden="false" customHeight="true" outlineLevel="0" collapsed="false">
      <c r="A40" s="9" t="s">
        <v>216</v>
      </c>
      <c r="B40" s="10" t="n">
        <v>-32000</v>
      </c>
      <c r="C40" s="10" t="n">
        <v>-72558</v>
      </c>
      <c r="D40" s="10" t="n">
        <v>-317215</v>
      </c>
      <c r="E40" s="12" t="s">
        <v>217</v>
      </c>
    </row>
    <row r="41" customFormat="false" ht="15" hidden="false" customHeight="true" outlineLevel="0" collapsed="false">
      <c r="A41" s="9" t="s">
        <v>218</v>
      </c>
      <c r="B41" s="10" t="n">
        <v>50000</v>
      </c>
      <c r="C41" s="10" t="n">
        <v>72358</v>
      </c>
      <c r="D41" s="10" t="n">
        <v>102190</v>
      </c>
      <c r="E41" s="11"/>
    </row>
    <row r="42" customFormat="false" ht="15" hidden="false" customHeight="true" outlineLevel="0" collapsed="false">
      <c r="A42" s="9" t="s">
        <v>219</v>
      </c>
      <c r="B42" s="10" t="n">
        <v>0</v>
      </c>
      <c r="C42" s="10" t="n">
        <v>-5509</v>
      </c>
      <c r="D42" s="10" t="n">
        <v>-110540</v>
      </c>
      <c r="E42" s="12" t="s">
        <v>220</v>
      </c>
    </row>
    <row r="43" customFormat="false" ht="15" hidden="false" customHeight="true" outlineLevel="0" collapsed="false">
      <c r="A43" s="9" t="s">
        <v>221</v>
      </c>
      <c r="B43" s="10" t="n">
        <v>-3000</v>
      </c>
      <c r="C43" s="10" t="n">
        <v>-4161</v>
      </c>
      <c r="D43" s="10" t="n">
        <v>-4699</v>
      </c>
      <c r="E43" s="11"/>
    </row>
    <row r="44" customFormat="false" ht="15" hidden="false" customHeight="true" outlineLevel="0" collapsed="false">
      <c r="A44" s="13" t="s">
        <v>222</v>
      </c>
      <c r="B44" s="14" t="n">
        <f aca="false">SUM(B40:B43)</f>
        <v>15000</v>
      </c>
      <c r="C44" s="14" t="n">
        <f aca="false">SUM(C40:C43)</f>
        <v>-9870</v>
      </c>
      <c r="D44" s="14" t="n">
        <f aca="false">SUM(D40:D43)</f>
        <v>-330264</v>
      </c>
      <c r="E44" s="15"/>
    </row>
    <row r="46" customFormat="false" ht="18" hidden="false" customHeight="true" outlineLevel="0" collapsed="false">
      <c r="A46" s="6" t="s">
        <v>223</v>
      </c>
      <c r="B46" s="6"/>
      <c r="C46" s="6"/>
      <c r="D46" s="6"/>
      <c r="E46" s="6"/>
    </row>
    <row r="47" customFormat="false" ht="15" hidden="false" customHeight="true" outlineLevel="0" collapsed="false">
      <c r="A47" s="9" t="s">
        <v>224</v>
      </c>
      <c r="B47" s="10" t="n">
        <v>30000</v>
      </c>
      <c r="C47" s="10" t="n">
        <v>30000</v>
      </c>
      <c r="D47" s="10" t="n">
        <v>23726</v>
      </c>
      <c r="E47" s="11"/>
    </row>
    <row r="48" customFormat="false" ht="15" hidden="false" customHeight="true" outlineLevel="0" collapsed="false">
      <c r="A48" s="9" t="s">
        <v>225</v>
      </c>
      <c r="B48" s="10" t="n">
        <v>-20000</v>
      </c>
      <c r="C48" s="10" t="n">
        <v>-59583</v>
      </c>
      <c r="D48" s="10" t="n">
        <v>-20505</v>
      </c>
      <c r="E48" s="11"/>
    </row>
    <row r="49" customFormat="false" ht="15" hidden="false" customHeight="true" outlineLevel="0" collapsed="false">
      <c r="A49" s="9" t="s">
        <v>226</v>
      </c>
      <c r="B49" s="10" t="n">
        <v>40000</v>
      </c>
      <c r="C49" s="10" t="n">
        <v>42480</v>
      </c>
      <c r="D49" s="10" t="n">
        <v>70799</v>
      </c>
      <c r="E49" s="12" t="s">
        <v>227</v>
      </c>
    </row>
    <row r="50" customFormat="false" ht="15" hidden="false" customHeight="true" outlineLevel="0" collapsed="false">
      <c r="A50" s="9" t="s">
        <v>228</v>
      </c>
      <c r="B50" s="10" t="n">
        <v>-40000</v>
      </c>
      <c r="C50" s="10" t="n">
        <v>-56655</v>
      </c>
      <c r="D50" s="10" t="n">
        <v>-33332</v>
      </c>
      <c r="E50" s="11"/>
    </row>
    <row r="51" customFormat="false" ht="15" hidden="false" customHeight="true" outlineLevel="0" collapsed="false">
      <c r="A51" s="13" t="s">
        <v>229</v>
      </c>
      <c r="B51" s="14" t="n">
        <f aca="false">SUM(B47:B50)</f>
        <v>10000</v>
      </c>
      <c r="C51" s="14" t="n">
        <f aca="false">SUM(C47:C50)</f>
        <v>-43758</v>
      </c>
      <c r="D51" s="14" t="n">
        <f aca="false">SUM(D47:D50)</f>
        <v>40688</v>
      </c>
      <c r="E51" s="15"/>
    </row>
    <row r="53" customFormat="false" ht="15" hidden="false" customHeight="true" outlineLevel="0" collapsed="false">
      <c r="A53" s="16" t="s">
        <v>230</v>
      </c>
      <c r="B53" s="17" t="n">
        <f aca="false">B37+B44+B51</f>
        <v>89403</v>
      </c>
      <c r="C53" s="17" t="n">
        <f aca="false">C37+C44+C51</f>
        <v>-31304</v>
      </c>
      <c r="D53" s="17" t="n">
        <f aca="false">D37+D44+D51</f>
        <v>24102</v>
      </c>
      <c r="E53" s="18"/>
    </row>
    <row r="54" customFormat="false" ht="15" hidden="false" customHeight="true" outlineLevel="0" collapsed="false">
      <c r="A54" s="9" t="s">
        <v>231</v>
      </c>
      <c r="B54" s="10" t="n">
        <v>35000</v>
      </c>
      <c r="C54" s="10" t="n">
        <v>41727</v>
      </c>
      <c r="D54" s="10" t="n">
        <v>10423</v>
      </c>
      <c r="E54" s="12" t="s">
        <v>232</v>
      </c>
    </row>
    <row r="55" customFormat="false" ht="15" hidden="false" customHeight="true" outlineLevel="0" collapsed="false">
      <c r="A55" s="13" t="s">
        <v>233</v>
      </c>
      <c r="B55" s="14" t="n">
        <f aca="false">B54+B53</f>
        <v>124403</v>
      </c>
      <c r="C55" s="14" t="n">
        <f aca="false">C54+C53</f>
        <v>10423</v>
      </c>
      <c r="D55" s="14" t="n">
        <f aca="false">D54+D53</f>
        <v>34525</v>
      </c>
      <c r="E55" s="15" t="s">
        <v>234</v>
      </c>
    </row>
    <row r="57" customFormat="false" ht="15" hidden="false" customHeight="true" outlineLevel="0" collapsed="false">
      <c r="A57" s="19" t="s">
        <v>235</v>
      </c>
      <c r="B57" s="22" t="n">
        <f aca="false">B55-BP!C7</f>
        <v>82676</v>
      </c>
      <c r="C57" s="22" t="n">
        <f aca="false">C55-BP!D7</f>
        <v>0</v>
      </c>
      <c r="D57" s="22" t="n">
        <f aca="false">D55-BP!E7</f>
        <v>-1</v>
      </c>
      <c r="E57" s="21" t="s">
        <v>236</v>
      </c>
    </row>
    <row r="59" customFormat="false" ht="18" hidden="false" customHeight="true" outlineLevel="0" collapsed="false">
      <c r="A59" s="6" t="s">
        <v>237</v>
      </c>
      <c r="B59" s="6"/>
      <c r="C59" s="6"/>
      <c r="D59" s="6"/>
      <c r="E59" s="6"/>
    </row>
    <row r="60" customFormat="false" ht="15" hidden="false" customHeight="true" outlineLevel="0" collapsed="false">
      <c r="A60" s="13" t="s">
        <v>238</v>
      </c>
      <c r="B60" s="14" t="n">
        <f aca="false">B18</f>
        <v>118403</v>
      </c>
      <c r="C60" s="14" t="n">
        <f aca="false">C18</f>
        <v>359964</v>
      </c>
      <c r="D60" s="14" t="n">
        <f aca="false">D18</f>
        <v>555382</v>
      </c>
      <c r="E60" s="15" t="s">
        <v>239</v>
      </c>
    </row>
    <row r="61" customFormat="false" ht="15" hidden="false" customHeight="true" outlineLevel="0" collapsed="false">
      <c r="A61" s="13" t="s">
        <v>240</v>
      </c>
      <c r="B61" s="14" t="n">
        <f aca="false">B40+B41</f>
        <v>18000</v>
      </c>
      <c r="C61" s="14" t="n">
        <f aca="false">C40+C41</f>
        <v>-200</v>
      </c>
      <c r="D61" s="14" t="n">
        <f aca="false">D40+D41</f>
        <v>-215025</v>
      </c>
      <c r="E61" s="15" t="s">
        <v>241</v>
      </c>
    </row>
    <row r="62" customFormat="false" ht="15" hidden="false" customHeight="true" outlineLevel="0" collapsed="false">
      <c r="A62" s="13" t="s">
        <v>242</v>
      </c>
      <c r="B62" s="14" t="n">
        <f aca="false">B49+B50</f>
        <v>0</v>
      </c>
      <c r="C62" s="14" t="n">
        <f aca="false">C49+C50</f>
        <v>-14175</v>
      </c>
      <c r="D62" s="14" t="n">
        <f aca="false">D49+D50</f>
        <v>37467</v>
      </c>
      <c r="E62" s="15" t="s">
        <v>243</v>
      </c>
    </row>
  </sheetData>
  <mergeCells count="7">
    <mergeCell ref="A1:E1"/>
    <mergeCell ref="A2:E2"/>
    <mergeCell ref="A5:E5"/>
    <mergeCell ref="A20:E20"/>
    <mergeCell ref="A39:E39"/>
    <mergeCell ref="A46:E46"/>
    <mergeCell ref="A59:E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4" min="2" style="1" width="16"/>
    <col collapsed="false" customWidth="true" hidden="false" outlineLevel="0" max="5" min="5" style="1" width="65"/>
  </cols>
  <sheetData>
    <row r="1" customFormat="false" ht="21.75" hidden="false" customHeight="true" outlineLevel="0" collapsed="false">
      <c r="A1" s="2" t="s">
        <v>244</v>
      </c>
      <c r="B1" s="2"/>
      <c r="C1" s="2"/>
      <c r="D1" s="2"/>
      <c r="E1" s="2"/>
    </row>
    <row r="2" customFormat="false" ht="30" hidden="false" customHeight="true" outlineLevel="0" collapsed="false">
      <c r="A2" s="3" t="s">
        <v>245</v>
      </c>
      <c r="B2" s="3"/>
      <c r="C2" s="3"/>
      <c r="D2" s="3"/>
      <c r="E2" s="3"/>
    </row>
    <row r="4" customFormat="false" ht="15" hidden="false" customHeight="true" outlineLevel="0" collapsed="false">
      <c r="A4" s="4"/>
      <c r="B4" s="4" t="s">
        <v>179</v>
      </c>
      <c r="C4" s="4" t="s">
        <v>129</v>
      </c>
      <c r="D4" s="4" t="s">
        <v>130</v>
      </c>
      <c r="E4" s="4" t="s">
        <v>6</v>
      </c>
    </row>
    <row r="5" customFormat="false" ht="18" hidden="false" customHeight="true" outlineLevel="0" collapsed="false">
      <c r="A5" s="6" t="s">
        <v>246</v>
      </c>
      <c r="B5" s="6"/>
      <c r="C5" s="6"/>
      <c r="D5" s="6"/>
      <c r="E5" s="6"/>
    </row>
    <row r="6" customFormat="false" ht="15" hidden="false" customHeight="true" outlineLevel="0" collapsed="false">
      <c r="A6" s="9" t="s">
        <v>247</v>
      </c>
      <c r="B6" s="26" t="n">
        <f aca="false">DRE!C36</f>
        <v>86438</v>
      </c>
      <c r="C6" s="26" t="n">
        <f aca="false">DRE!D36</f>
        <v>105844</v>
      </c>
      <c r="D6" s="26" t="n">
        <f aca="false">DRE!E36</f>
        <v>191485</v>
      </c>
      <c r="E6" s="12" t="s">
        <v>248</v>
      </c>
    </row>
    <row r="7" customFormat="false" ht="15" hidden="false" customHeight="true" outlineLevel="0" collapsed="false">
      <c r="A7" s="9" t="s">
        <v>249</v>
      </c>
      <c r="B7" s="10" t="n">
        <v>146866</v>
      </c>
      <c r="C7" s="10" t="n">
        <v>105844</v>
      </c>
      <c r="D7" s="10" t="n">
        <v>191485</v>
      </c>
      <c r="E7" s="12" t="s">
        <v>250</v>
      </c>
    </row>
    <row r="9" customFormat="false" ht="18" hidden="false" customHeight="true" outlineLevel="0" collapsed="false">
      <c r="A9" s="6" t="s">
        <v>251</v>
      </c>
      <c r="B9" s="6"/>
      <c r="C9" s="6"/>
      <c r="D9" s="6"/>
      <c r="E9" s="6"/>
    </row>
    <row r="10" customFormat="false" ht="21.75" hidden="false" customHeight="true" outlineLevel="0" collapsed="false">
      <c r="A10" s="9" t="s">
        <v>252</v>
      </c>
      <c r="B10" s="26" t="n">
        <f aca="false">-DRE!C20</f>
        <v>-16106</v>
      </c>
      <c r="C10" s="26" t="n">
        <f aca="false">-DRE!D20</f>
        <v>-268169</v>
      </c>
      <c r="D10" s="26" t="n">
        <f aca="false">-DRE!E20</f>
        <v>-233378</v>
      </c>
      <c r="E10" s="12" t="s">
        <v>253</v>
      </c>
    </row>
    <row r="11" customFormat="false" ht="15" hidden="false" customHeight="true" outlineLevel="0" collapsed="false">
      <c r="A11" s="9" t="s">
        <v>254</v>
      </c>
      <c r="B11" s="26" t="n">
        <f aca="false">-DRE!C21</f>
        <v>2185</v>
      </c>
      <c r="C11" s="26" t="n">
        <f aca="false">-DRE!D21</f>
        <v>5720</v>
      </c>
      <c r="D11" s="26" t="n">
        <f aca="false">-DRE!E21</f>
        <v>6255</v>
      </c>
      <c r="E11" s="12" t="s">
        <v>255</v>
      </c>
    </row>
    <row r="12" customFormat="false" ht="21.75" hidden="false" customHeight="true" outlineLevel="0" collapsed="false">
      <c r="A12" s="9" t="s">
        <v>256</v>
      </c>
      <c r="B12" s="10" t="n">
        <v>0</v>
      </c>
      <c r="C12" s="10" t="n">
        <v>0</v>
      </c>
      <c r="D12" s="10" t="n">
        <v>-331120</v>
      </c>
      <c r="E12" s="12" t="s">
        <v>257</v>
      </c>
    </row>
    <row r="13" customFormat="false" ht="21.75" hidden="false" customHeight="true" outlineLevel="0" collapsed="false">
      <c r="A13" s="9" t="s">
        <v>258</v>
      </c>
      <c r="B13" s="10" t="n">
        <v>-136000</v>
      </c>
      <c r="C13" s="10" t="n">
        <v>0</v>
      </c>
      <c r="D13" s="10" t="n">
        <v>0</v>
      </c>
      <c r="E13" s="12" t="s">
        <v>259</v>
      </c>
    </row>
    <row r="14" customFormat="false" ht="15" hidden="false" customHeight="true" outlineLevel="0" collapsed="false">
      <c r="A14" s="9" t="s">
        <v>260</v>
      </c>
      <c r="B14" s="10" t="n">
        <v>0</v>
      </c>
      <c r="C14" s="10" t="n">
        <v>-8900</v>
      </c>
      <c r="D14" s="10" t="n">
        <v>0</v>
      </c>
      <c r="E14" s="12" t="s">
        <v>261</v>
      </c>
    </row>
    <row r="15" customFormat="false" ht="15" hidden="false" customHeight="true" outlineLevel="0" collapsed="false">
      <c r="A15" s="13" t="s">
        <v>262</v>
      </c>
      <c r="B15" s="14" t="n">
        <f aca="false">B10+B11+B12+B13+B14</f>
        <v>-149921</v>
      </c>
      <c r="C15" s="14" t="n">
        <f aca="false">C10+C11+C12+C13+C14</f>
        <v>-271349</v>
      </c>
      <c r="D15" s="14" t="n">
        <f aca="false">D10+D11+D12+D13+D14</f>
        <v>-558243</v>
      </c>
      <c r="E15" s="15" t="s">
        <v>263</v>
      </c>
    </row>
    <row r="17" customFormat="false" ht="18" hidden="false" customHeight="true" outlineLevel="0" collapsed="false">
      <c r="A17" s="6" t="s">
        <v>264</v>
      </c>
      <c r="B17" s="6"/>
      <c r="C17" s="6"/>
      <c r="D17" s="6"/>
      <c r="E17" s="6"/>
    </row>
    <row r="18" customFormat="false" ht="21.75" hidden="false" customHeight="true" outlineLevel="0" collapsed="false">
      <c r="A18" s="9" t="s">
        <v>265</v>
      </c>
      <c r="B18" s="10" t="n">
        <v>-3120</v>
      </c>
      <c r="C18" s="10" t="n">
        <v>-3058</v>
      </c>
      <c r="D18" s="10" t="n">
        <v>-90891</v>
      </c>
      <c r="E18" s="12" t="s">
        <v>266</v>
      </c>
    </row>
    <row r="19" customFormat="false" ht="15" hidden="false" customHeight="true" outlineLevel="0" collapsed="false">
      <c r="A19" s="27" t="s">
        <v>267</v>
      </c>
      <c r="B19" s="15"/>
      <c r="C19" s="15"/>
      <c r="D19" s="15"/>
      <c r="E19" s="28" t="s">
        <v>268</v>
      </c>
    </row>
    <row r="21" customFormat="false" ht="18" hidden="false" customHeight="true" outlineLevel="0" collapsed="false">
      <c r="A21" s="6" t="s">
        <v>269</v>
      </c>
      <c r="B21" s="6"/>
      <c r="C21" s="6"/>
      <c r="D21" s="6"/>
      <c r="E21" s="6"/>
    </row>
    <row r="22" customFormat="false" ht="21.75" hidden="false" customHeight="true" outlineLevel="0" collapsed="false">
      <c r="A22" s="9" t="s">
        <v>270</v>
      </c>
      <c r="B22" s="10" t="n">
        <v>0</v>
      </c>
      <c r="C22" s="10" t="n">
        <v>0</v>
      </c>
      <c r="D22" s="10" t="n">
        <v>82010</v>
      </c>
      <c r="E22" s="12" t="s">
        <v>271</v>
      </c>
    </row>
    <row r="23" customFormat="false" ht="21.75" hidden="false" customHeight="true" outlineLevel="0" collapsed="false">
      <c r="A23" s="9" t="s">
        <v>272</v>
      </c>
      <c r="B23" s="10" t="n">
        <v>0</v>
      </c>
      <c r="C23" s="10" t="n">
        <v>0</v>
      </c>
      <c r="D23" s="10" t="n">
        <v>28854</v>
      </c>
      <c r="E23" s="12" t="s">
        <v>273</v>
      </c>
    </row>
    <row r="24" customFormat="false" ht="15" hidden="false" customHeight="true" outlineLevel="0" collapsed="false">
      <c r="A24" s="13" t="s">
        <v>274</v>
      </c>
      <c r="B24" s="14" t="n">
        <f aca="false">B22+B23</f>
        <v>0</v>
      </c>
      <c r="C24" s="14" t="n">
        <f aca="false">C22+C23</f>
        <v>0</v>
      </c>
      <c r="D24" s="14" t="n">
        <f aca="false">D22+D23</f>
        <v>110864</v>
      </c>
      <c r="E24" s="15"/>
    </row>
    <row r="26" customFormat="false" ht="15" hidden="false" customHeight="true" outlineLevel="0" collapsed="false">
      <c r="A26" s="16" t="s">
        <v>275</v>
      </c>
      <c r="B26" s="17" t="n">
        <f aca="false">B6+B15+B24</f>
        <v>-63483</v>
      </c>
      <c r="C26" s="17" t="n">
        <f aca="false">C6+C15+C24</f>
        <v>-165505</v>
      </c>
      <c r="D26" s="17" t="n">
        <f aca="false">D6+D15+D24</f>
        <v>-255894</v>
      </c>
      <c r="E26" s="18" t="s">
        <v>276</v>
      </c>
    </row>
    <row r="27" customFormat="false" ht="15" hidden="false" customHeight="true" outlineLevel="0" collapsed="false">
      <c r="A27" s="13" t="s">
        <v>277</v>
      </c>
      <c r="B27" s="29" t="n">
        <f aca="false">DRE!C5+B15</f>
        <v>308792</v>
      </c>
      <c r="C27" s="29" t="n">
        <f aca="false">DRE!D5+C15</f>
        <v>128275</v>
      </c>
      <c r="D27" s="29" t="n">
        <f aca="false">DRE!E5+D15</f>
        <v>200303</v>
      </c>
      <c r="E27" s="15" t="s">
        <v>278</v>
      </c>
    </row>
    <row r="28" customFormat="false" ht="15" hidden="false" customHeight="true" outlineLevel="0" collapsed="false">
      <c r="A28" s="13" t="s">
        <v>279</v>
      </c>
      <c r="B28" s="23" t="n">
        <f aca="false">IFERROR(B26/B27,0)</f>
        <v>-0.205584989248426</v>
      </c>
      <c r="C28" s="23" t="n">
        <f aca="false">IFERROR(C26/C27,0)</f>
        <v>-1.29023582147729</v>
      </c>
      <c r="D28" s="23" t="n">
        <f aca="false">IFERROR(D26/D27,0)</f>
        <v>-1.2775345351792</v>
      </c>
      <c r="E28" s="15"/>
    </row>
    <row r="30" customFormat="false" ht="18" hidden="false" customHeight="true" outlineLevel="0" collapsed="false">
      <c r="A30" s="6" t="s">
        <v>280</v>
      </c>
      <c r="B30" s="6"/>
      <c r="C30" s="6"/>
      <c r="D30" s="6"/>
      <c r="E30" s="6"/>
    </row>
    <row r="31" customFormat="false" ht="15" hidden="false" customHeight="true" outlineLevel="0" collapsed="false">
      <c r="A31" s="9" t="s">
        <v>281</v>
      </c>
      <c r="B31" s="26" t="n">
        <f aca="false">DRE!C37</f>
        <v>146866</v>
      </c>
      <c r="C31" s="26" t="n">
        <f aca="false">DRE!D37</f>
        <v>105844</v>
      </c>
      <c r="D31" s="26" t="n">
        <f aca="false">DRE!E37</f>
        <v>191485</v>
      </c>
      <c r="E31" s="11"/>
    </row>
    <row r="32" customFormat="false" ht="15" hidden="false" customHeight="true" outlineLevel="0" collapsed="false">
      <c r="A32" s="13" t="s">
        <v>282</v>
      </c>
      <c r="B32" s="14" t="n">
        <f aca="false">B26</f>
        <v>-63483</v>
      </c>
      <c r="C32" s="14" t="n">
        <f aca="false">C26</f>
        <v>-165505</v>
      </c>
      <c r="D32" s="14" t="n">
        <f aca="false">D26</f>
        <v>-255894</v>
      </c>
      <c r="E32" s="15" t="s">
        <v>283</v>
      </c>
    </row>
    <row r="33" customFormat="false" ht="15" hidden="false" customHeight="true" outlineLevel="0" collapsed="false">
      <c r="A33" s="30" t="s">
        <v>284</v>
      </c>
      <c r="B33" s="31" t="n">
        <f aca="false">IFERROR(1-B26/B31,0)</f>
        <v>1.43225116773113</v>
      </c>
      <c r="C33" s="31" t="n">
        <f aca="false">IFERROR(1-C26/C31,0)</f>
        <v>2.56366917350062</v>
      </c>
      <c r="D33" s="31" t="n">
        <f aca="false">IFERROR(1-D26/D31,0)</f>
        <v>2.33636577277594</v>
      </c>
      <c r="E33" s="32" t="s">
        <v>285</v>
      </c>
    </row>
    <row r="35" customFormat="false" ht="18" hidden="false" customHeight="true" outlineLevel="0" collapsed="false">
      <c r="A35" s="6" t="s">
        <v>286</v>
      </c>
      <c r="B35" s="6"/>
      <c r="C35" s="6"/>
      <c r="D35" s="6"/>
      <c r="E35" s="6"/>
    </row>
    <row r="36" customFormat="false" ht="15" hidden="false" customHeight="true" outlineLevel="0" collapsed="false">
      <c r="A36" s="9" t="s">
        <v>287</v>
      </c>
      <c r="B36" s="10" t="n">
        <v>-297820</v>
      </c>
      <c r="C36" s="10" t="n">
        <v>-371159</v>
      </c>
      <c r="D36" s="10" t="n">
        <v>-439653</v>
      </c>
      <c r="E36" s="12" t="s">
        <v>288</v>
      </c>
    </row>
    <row r="37" customFormat="false" ht="15" hidden="false" customHeight="true" outlineLevel="0" collapsed="false">
      <c r="A37" s="9" t="s">
        <v>289</v>
      </c>
      <c r="B37" s="10" t="n">
        <v>-56178</v>
      </c>
      <c r="C37" s="10" t="n">
        <v>-71975</v>
      </c>
      <c r="D37" s="10" t="n">
        <v>-88419</v>
      </c>
      <c r="E37" s="12" t="s">
        <v>290</v>
      </c>
    </row>
    <row r="38" customFormat="false" ht="15" hidden="false" customHeight="true" outlineLevel="0" collapsed="false">
      <c r="A38" s="9" t="s">
        <v>291</v>
      </c>
      <c r="B38" s="10" t="n">
        <v>-36529</v>
      </c>
      <c r="C38" s="10" t="n">
        <v>-44118</v>
      </c>
      <c r="D38" s="10" t="n">
        <v>-60087</v>
      </c>
      <c r="E38" s="12" t="s">
        <v>292</v>
      </c>
    </row>
    <row r="39" customFormat="false" ht="15" hidden="false" customHeight="true" outlineLevel="0" collapsed="false">
      <c r="A39" s="9" t="s">
        <v>94</v>
      </c>
      <c r="B39" s="10" t="n">
        <v>-42375</v>
      </c>
      <c r="C39" s="10" t="n">
        <v>-52295</v>
      </c>
      <c r="D39" s="10" t="n">
        <v>-54138</v>
      </c>
      <c r="E39" s="11"/>
    </row>
    <row r="40" customFormat="false" ht="15" hidden="false" customHeight="true" outlineLevel="0" collapsed="false">
      <c r="A40" s="13" t="s">
        <v>293</v>
      </c>
      <c r="B40" s="14" t="n">
        <f aca="false">B36+B37+B38+B39</f>
        <v>-432902</v>
      </c>
      <c r="C40" s="14" t="n">
        <f aca="false">C36+C37+C38+C39</f>
        <v>-539547</v>
      </c>
      <c r="D40" s="14" t="n">
        <f aca="false">D36+D37+D38+D39</f>
        <v>-642297</v>
      </c>
      <c r="E40" s="15" t="s">
        <v>294</v>
      </c>
    </row>
    <row r="42" customFormat="false" ht="15" hidden="false" customHeight="true" outlineLevel="0" collapsed="false">
      <c r="A42" s="13" t="s">
        <v>295</v>
      </c>
      <c r="B42" s="14" t="n">
        <f aca="false">B27</f>
        <v>308792</v>
      </c>
      <c r="C42" s="14" t="n">
        <f aca="false">C27</f>
        <v>128275</v>
      </c>
      <c r="D42" s="14" t="n">
        <f aca="false">D27</f>
        <v>200303</v>
      </c>
      <c r="E42" s="15"/>
    </row>
    <row r="43" customFormat="false" ht="15" hidden="false" customHeight="true" outlineLevel="0" collapsed="false">
      <c r="A43" s="30" t="s">
        <v>296</v>
      </c>
      <c r="B43" s="33" t="n">
        <f aca="false">B42+B40</f>
        <v>-124110</v>
      </c>
      <c r="C43" s="33" t="n">
        <f aca="false">C42+C40</f>
        <v>-411272</v>
      </c>
      <c r="D43" s="33" t="n">
        <f aca="false">D42+D40</f>
        <v>-441994</v>
      </c>
      <c r="E43" s="32" t="s">
        <v>297</v>
      </c>
    </row>
  </sheetData>
  <mergeCells count="8">
    <mergeCell ref="A1:E1"/>
    <mergeCell ref="A2:E2"/>
    <mergeCell ref="A5:E5"/>
    <mergeCell ref="A9:E9"/>
    <mergeCell ref="A17:E17"/>
    <mergeCell ref="A21:E21"/>
    <mergeCell ref="A30:E30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5" min="2" style="1" width="16"/>
    <col collapsed="false" customWidth="true" hidden="false" outlineLevel="0" max="6" min="6" style="1" width="60"/>
  </cols>
  <sheetData>
    <row r="1" customFormat="false" ht="21.75" hidden="false" customHeight="true" outlineLevel="0" collapsed="false">
      <c r="A1" s="2" t="s">
        <v>298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299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/>
      <c r="B4" s="5" t="s">
        <v>2</v>
      </c>
      <c r="C4" s="4" t="s">
        <v>179</v>
      </c>
      <c r="D4" s="4" t="s">
        <v>129</v>
      </c>
      <c r="E4" s="4" t="s">
        <v>130</v>
      </c>
      <c r="F4" s="4" t="s">
        <v>300</v>
      </c>
    </row>
    <row r="5" customFormat="false" ht="18" hidden="false" customHeight="true" outlineLevel="0" collapsed="false">
      <c r="A5" s="6" t="s">
        <v>301</v>
      </c>
      <c r="B5" s="6"/>
      <c r="C5" s="6"/>
      <c r="D5" s="6"/>
      <c r="E5" s="6"/>
      <c r="F5" s="6"/>
    </row>
    <row r="6" customFormat="false" ht="15" hidden="false" customHeight="true" outlineLevel="0" collapsed="false">
      <c r="A6" s="9" t="s">
        <v>302</v>
      </c>
      <c r="B6" s="34" t="n">
        <f aca="false">BP!B12/BP!B37</f>
        <v>0.220038274051762</v>
      </c>
      <c r="C6" s="34" t="n">
        <f aca="false">BP!C12/BP!C37</f>
        <v>0.615720958864427</v>
      </c>
      <c r="D6" s="34" t="n">
        <f aca="false">BP!D12/BP!D37</f>
        <v>0.456086664435856</v>
      </c>
      <c r="E6" s="34" t="n">
        <f aca="false">BP!E12/BP!E37</f>
        <v>0.374289239850934</v>
      </c>
      <c r="F6" s="12" t="s">
        <v>303</v>
      </c>
    </row>
    <row r="7" customFormat="false" ht="21.75" hidden="false" customHeight="true" outlineLevel="0" collapsed="false">
      <c r="A7" s="9" t="s">
        <v>304</v>
      </c>
      <c r="B7" s="26" t="n">
        <f aca="false">BP!B12-BP!B37</f>
        <v>-228645</v>
      </c>
      <c r="C7" s="26" t="n">
        <f aca="false">BP!C12-BP!C37</f>
        <v>-127347</v>
      </c>
      <c r="D7" s="26" t="n">
        <f aca="false">BP!D12-BP!D37</f>
        <v>-212935</v>
      </c>
      <c r="E7" s="26" t="n">
        <f aca="false">BP!E12-BP!E37</f>
        <v>-302727</v>
      </c>
      <c r="F7" s="12" t="s">
        <v>305</v>
      </c>
    </row>
    <row r="8" customFormat="false" ht="15" hidden="false" customHeight="true" outlineLevel="0" collapsed="false">
      <c r="A8" s="9" t="s">
        <v>306</v>
      </c>
      <c r="B8" s="26" t="n">
        <f aca="false">BP!B57</f>
        <v>-263936</v>
      </c>
      <c r="C8" s="26" t="n">
        <f aca="false">BP!C57</f>
        <v>-185215</v>
      </c>
      <c r="D8" s="26" t="n">
        <f aca="false">BP!D57</f>
        <v>-233630</v>
      </c>
      <c r="E8" s="26" t="n">
        <f aca="false">BP!E57</f>
        <v>-182045</v>
      </c>
      <c r="F8" s="12" t="s">
        <v>307</v>
      </c>
    </row>
    <row r="10" customFormat="false" ht="18" hidden="false" customHeight="true" outlineLevel="0" collapsed="false">
      <c r="A10" s="6" t="s">
        <v>308</v>
      </c>
      <c r="B10" s="6"/>
      <c r="C10" s="6"/>
      <c r="D10" s="6"/>
      <c r="E10" s="6"/>
      <c r="F10" s="6"/>
    </row>
    <row r="11" customFormat="false" ht="21.75" hidden="false" customHeight="true" outlineLevel="0" collapsed="false">
      <c r="A11" s="9" t="s">
        <v>309</v>
      </c>
      <c r="B11" s="34" t="n">
        <f aca="false">BP!B48/DRE!B5</f>
        <v>2.41913134695197</v>
      </c>
      <c r="C11" s="34" t="n">
        <f aca="false">BP!C48/DRE!C5</f>
        <v>1.79413271479117</v>
      </c>
      <c r="D11" s="34" t="n">
        <f aca="false">BP!D48/DRE!D5</f>
        <v>2.1663138350049</v>
      </c>
      <c r="E11" s="34" t="n">
        <f aca="false">BP!E48/DRE!E5</f>
        <v>1.37488827309089</v>
      </c>
      <c r="F11" s="12" t="s">
        <v>310</v>
      </c>
    </row>
    <row r="12" customFormat="false" ht="15" hidden="false" customHeight="true" outlineLevel="0" collapsed="false">
      <c r="A12" s="9" t="s">
        <v>311</v>
      </c>
      <c r="B12" s="34" t="n">
        <f aca="false">IFERROR(BP!B48/DRE!B36,0)</f>
        <v>8.82616096660065</v>
      </c>
      <c r="C12" s="34" t="n">
        <f aca="false">IFERROR(BP!C48/DRE!C36,0)</f>
        <v>9.5211828131146</v>
      </c>
      <c r="D12" s="34" t="n">
        <f aca="false">IFERROR(BP!D48/DRE!D36,0)</f>
        <v>8.17912210422887</v>
      </c>
      <c r="E12" s="34" t="n">
        <f aca="false">IFERROR(BP!E48/DRE!E36,0)</f>
        <v>5.44646316943886</v>
      </c>
      <c r="F12" s="12" t="s">
        <v>312</v>
      </c>
    </row>
    <row r="13" customFormat="false" ht="21.75" hidden="false" customHeight="true" outlineLevel="0" collapsed="false">
      <c r="A13" s="35" t="s">
        <v>313</v>
      </c>
      <c r="B13" s="36" t="s">
        <v>314</v>
      </c>
      <c r="C13" s="37" t="n">
        <f aca="false">IFERROR(BP!C48/Operacional_Puro!B26,0)</f>
        <v>-12.9639746073752</v>
      </c>
      <c r="D13" s="37" t="n">
        <f aca="false">IFERROR(BP!D48/Operacional_Puro!C26,0)</f>
        <v>-5.23072414730673</v>
      </c>
      <c r="E13" s="37" t="n">
        <f aca="false">IFERROR(BP!E48/Operacional_Puro!D26,0)</f>
        <v>-4.07557816908564</v>
      </c>
      <c r="F13" s="38" t="s">
        <v>315</v>
      </c>
    </row>
    <row r="14" customFormat="false" ht="15" hidden="false" customHeight="true" outlineLevel="0" collapsed="false">
      <c r="A14" s="9" t="s">
        <v>316</v>
      </c>
      <c r="B14" s="39" t="n">
        <f aca="false">(BP!B29+BP!B42)/BP!B48</f>
        <v>0.395964770525631</v>
      </c>
      <c r="C14" s="39" t="n">
        <f aca="false">(BP!C29+BP!C42)/BP!C48</f>
        <v>0.457610766568812</v>
      </c>
      <c r="D14" s="39" t="n">
        <f aca="false">(BP!D29+BP!D42)/BP!D48</f>
        <v>0.45314082875232</v>
      </c>
      <c r="E14" s="39" t="n">
        <f aca="false">(BP!E29+BP!E42)/BP!E48</f>
        <v>0.450640320025774</v>
      </c>
      <c r="F14" s="12" t="s">
        <v>317</v>
      </c>
    </row>
    <row r="16" customFormat="false" ht="18" hidden="false" customHeight="true" outlineLevel="0" collapsed="false">
      <c r="A16" s="6" t="s">
        <v>318</v>
      </c>
      <c r="B16" s="6"/>
      <c r="C16" s="6"/>
      <c r="D16" s="6"/>
      <c r="E16" s="6"/>
      <c r="F16" s="6"/>
    </row>
    <row r="17" customFormat="false" ht="21.75" hidden="false" customHeight="true" outlineLevel="0" collapsed="false">
      <c r="A17" s="9" t="s">
        <v>319</v>
      </c>
      <c r="B17" s="39" t="n">
        <f aca="false">Receita_Detalhada!E6/Receita_Detalhada!E14</f>
        <v>0.270502213147565</v>
      </c>
      <c r="C17" s="39" t="n">
        <f aca="false">Receita_Detalhada!F6/Receita_Detalhada!F14</f>
        <v>0.0339230087134911</v>
      </c>
      <c r="D17" s="39" t="n">
        <f aca="false">Receita_Detalhada!G6/Receita_Detalhada!G14</f>
        <v>0.391959086550829</v>
      </c>
      <c r="E17" s="39" t="n">
        <f aca="false">Receita_Detalhada!H6/Receita_Detalhada!H14</f>
        <v>0.228255267041781</v>
      </c>
      <c r="F17" s="12" t="s">
        <v>320</v>
      </c>
    </row>
    <row r="18" customFormat="false" ht="15" hidden="false" customHeight="true" outlineLevel="0" collapsed="false">
      <c r="A18" s="9" t="s">
        <v>321</v>
      </c>
      <c r="B18" s="39" t="n">
        <f aca="false">Receita_Detalhada!E8/Receita_Detalhada!E14</f>
        <v>0.196663431660249</v>
      </c>
      <c r="C18" s="39" t="n">
        <f aca="false">Receita_Detalhada!F8/Receita_Detalhada!F14</f>
        <v>0.396205829635137</v>
      </c>
      <c r="D18" s="39" t="n">
        <f aca="false">Receita_Detalhada!G8/Receita_Detalhada!G14</f>
        <v>0.0999903533593695</v>
      </c>
      <c r="E18" s="39" t="n">
        <f aca="false">Receita_Detalhada!H8/Receita_Detalhada!H14</f>
        <v>0.355917151371764</v>
      </c>
      <c r="F18" s="12" t="s">
        <v>322</v>
      </c>
    </row>
    <row r="19" customFormat="false" ht="21.75" hidden="false" customHeight="true" outlineLevel="0" collapsed="false">
      <c r="A19" s="9" t="s">
        <v>323</v>
      </c>
      <c r="B19" s="39" t="n">
        <f aca="false">(Receita_Detalhada!E9+Receita_Detalhada!E10+Receita_Detalhada!E11)/Receita_Detalhada!E14</f>
        <v>0.22807371206907</v>
      </c>
      <c r="C19" s="39" t="n">
        <f aca="false">(Receita_Detalhada!F9+Receita_Detalhada!F10+Receita_Detalhada!F11)/Receita_Detalhada!F14</f>
        <v>0.306823567076189</v>
      </c>
      <c r="D19" s="39" t="n">
        <f aca="false">(Receita_Detalhada!G9+Receita_Detalhada!G10+Receita_Detalhada!G11)/Receita_Detalhada!G14</f>
        <v>0.259187694394425</v>
      </c>
      <c r="E19" s="39" t="n">
        <f aca="false">(Receita_Detalhada!H9+Receita_Detalhada!H10+Receita_Detalhada!H11)/Receita_Detalhada!H14</f>
        <v>0.230182024817031</v>
      </c>
      <c r="F19" s="12" t="s">
        <v>324</v>
      </c>
    </row>
    <row r="21" customFormat="false" ht="18" hidden="false" customHeight="true" outlineLevel="0" collapsed="false">
      <c r="A21" s="6" t="s">
        <v>325</v>
      </c>
      <c r="B21" s="6"/>
      <c r="C21" s="6"/>
      <c r="D21" s="6"/>
      <c r="E21" s="6"/>
      <c r="F21" s="6"/>
    </row>
    <row r="22" customFormat="false" ht="21.75" hidden="false" customHeight="true" outlineLevel="0" collapsed="false">
      <c r="A22" s="35" t="s">
        <v>326</v>
      </c>
      <c r="B22" s="40" t="s">
        <v>314</v>
      </c>
      <c r="C22" s="40" t="s">
        <v>314</v>
      </c>
      <c r="D22" s="41" t="n">
        <f aca="false">(132037+56190+17181)/268169</f>
        <v>0.765964746111594</v>
      </c>
      <c r="E22" s="41" t="n">
        <f aca="false">(78727+60509+55198)/233378</f>
        <v>0.833129086717686</v>
      </c>
      <c r="F22" s="38" t="s">
        <v>327</v>
      </c>
    </row>
    <row r="24" customFormat="false" ht="18" hidden="false" customHeight="true" outlineLevel="0" collapsed="false">
      <c r="A24" s="6" t="s">
        <v>328</v>
      </c>
      <c r="B24" s="6"/>
      <c r="C24" s="6"/>
      <c r="D24" s="6"/>
      <c r="E24" s="6"/>
      <c r="F24" s="6"/>
    </row>
    <row r="25" customFormat="false" ht="21.75" hidden="false" customHeight="true" outlineLevel="0" collapsed="false">
      <c r="A25" s="9" t="s">
        <v>329</v>
      </c>
      <c r="B25" s="39" t="n">
        <f aca="false">DRE!B38</f>
        <v>0.27408647498117</v>
      </c>
      <c r="C25" s="39" t="n">
        <f aca="false">DRE!C38</f>
        <v>0.188435906547231</v>
      </c>
      <c r="D25" s="39" t="n">
        <f aca="false">DRE!D38</f>
        <v>0.264858967429384</v>
      </c>
      <c r="E25" s="39" t="n">
        <f aca="false">DRE!E38</f>
        <v>0.252436899014694</v>
      </c>
      <c r="F25" s="12" t="s">
        <v>330</v>
      </c>
    </row>
    <row r="26" customFormat="false" ht="21.75" hidden="false" customHeight="true" outlineLevel="0" collapsed="false">
      <c r="A26" s="35" t="s">
        <v>331</v>
      </c>
      <c r="B26" s="40" t="s">
        <v>314</v>
      </c>
      <c r="C26" s="41" t="n">
        <f aca="false">Operacional_Puro!B28</f>
        <v>-0.205584989248426</v>
      </c>
      <c r="D26" s="41" t="n">
        <f aca="false">Operacional_Puro!C28</f>
        <v>-1.29023582147729</v>
      </c>
      <c r="E26" s="41" t="n">
        <f aca="false">Operacional_Puro!D28</f>
        <v>-1.2775345351792</v>
      </c>
      <c r="F26" s="38" t="s">
        <v>332</v>
      </c>
    </row>
    <row r="27" customFormat="false" ht="21.75" hidden="false" customHeight="true" outlineLevel="0" collapsed="false">
      <c r="A27" s="9" t="s">
        <v>333</v>
      </c>
      <c r="B27" s="39" t="n">
        <f aca="false">DRE!B40</f>
        <v>0.0913601253914672</v>
      </c>
      <c r="C27" s="39" t="n">
        <f aca="false">DRE!C40</f>
        <v>0.0525949776875737</v>
      </c>
      <c r="D27" s="39" t="n">
        <f aca="false">DRE!D40</f>
        <v>0.000285268152062939</v>
      </c>
      <c r="E27" s="39" t="n">
        <f aca="false">DRE!E40</f>
        <v>0.0680051045025615</v>
      </c>
      <c r="F27" s="12" t="s">
        <v>334</v>
      </c>
    </row>
    <row r="29" customFormat="false" ht="18" hidden="false" customHeight="true" outlineLevel="0" collapsed="false">
      <c r="A29" s="6" t="s">
        <v>335</v>
      </c>
      <c r="B29" s="6"/>
      <c r="C29" s="6"/>
      <c r="D29" s="6"/>
      <c r="E29" s="6"/>
      <c r="F29" s="6"/>
    </row>
    <row r="30" customFormat="false" ht="21.75" hidden="false" customHeight="true" outlineLevel="0" collapsed="false">
      <c r="A30" s="35" t="s">
        <v>336</v>
      </c>
      <c r="B30" s="41" t="n">
        <f aca="false">BP!B7/BP!B37</f>
        <v>0.000173972962554878</v>
      </c>
      <c r="C30" s="41" t="n">
        <f aca="false">BP!C7/BP!C37</f>
        <v>0.125914325028969</v>
      </c>
      <c r="D30" s="41" t="n">
        <f aca="false">BP!D7/BP!D37</f>
        <v>0.0266241280042505</v>
      </c>
      <c r="E30" s="41" t="n">
        <f aca="false">BP!E7/BP!E37</f>
        <v>0.071362282534781</v>
      </c>
      <c r="F30" s="38" t="s">
        <v>337</v>
      </c>
    </row>
    <row r="31" customFormat="false" ht="15" hidden="false" customHeight="true" outlineLevel="0" collapsed="false">
      <c r="A31" s="35" t="s">
        <v>338</v>
      </c>
      <c r="B31" s="42" t="n">
        <f aca="false">BP!B7/(-DRE!B8/12)</f>
        <v>0.00291657731074416</v>
      </c>
      <c r="C31" s="42" t="n">
        <f aca="false">BP!C7/(-DRE!C8/12)</f>
        <v>1.94214568303468</v>
      </c>
      <c r="D31" s="42" t="n">
        <f aca="false">BP!D7/(-DRE!D8/12)</f>
        <v>0.336987652192187</v>
      </c>
      <c r="E31" s="42" t="n">
        <f aca="false">BP!E7/(-DRE!E8/12)</f>
        <v>0.79421388904331</v>
      </c>
      <c r="F31" s="38" t="s">
        <v>339</v>
      </c>
    </row>
    <row r="33" customFormat="false" ht="18" hidden="false" customHeight="true" outlineLevel="0" collapsed="false">
      <c r="A33" s="6" t="s">
        <v>340</v>
      </c>
      <c r="B33" s="6"/>
      <c r="C33" s="6"/>
      <c r="D33" s="6"/>
      <c r="E33" s="6"/>
      <c r="F33" s="6"/>
    </row>
    <row r="34" customFormat="false" ht="21.75" hidden="false" customHeight="true" outlineLevel="0" collapsed="false">
      <c r="A34" s="9" t="s">
        <v>341</v>
      </c>
      <c r="B34" s="26" t="n">
        <f aca="false">BP!B18</f>
        <v>78054</v>
      </c>
      <c r="C34" s="26" t="n">
        <f aca="false">BP!C18</f>
        <v>79860</v>
      </c>
      <c r="D34" s="26" t="n">
        <f aca="false">BP!D18</f>
        <v>65506</v>
      </c>
      <c r="E34" s="26" t="n">
        <f aca="false">BP!E18</f>
        <v>306803</v>
      </c>
      <c r="F34" s="12" t="s">
        <v>342</v>
      </c>
    </row>
    <row r="35" customFormat="false" ht="21.75" hidden="false" customHeight="true" outlineLevel="0" collapsed="false">
      <c r="A35" s="35" t="s">
        <v>343</v>
      </c>
      <c r="B35" s="43" t="n">
        <f aca="false">BP!B27+BP!B40</f>
        <v>51501</v>
      </c>
      <c r="C35" s="43" t="n">
        <f aca="false">BP!C27+BP!C40</f>
        <v>58323</v>
      </c>
      <c r="D35" s="43" t="n">
        <f aca="false">BP!D27+BP!D40</f>
        <v>99613</v>
      </c>
      <c r="E35" s="43" t="n">
        <f aca="false">BP!E27+BP!E40</f>
        <v>244192</v>
      </c>
      <c r="F35" s="38" t="s">
        <v>344</v>
      </c>
    </row>
    <row r="36" customFormat="false" ht="21.75" hidden="false" customHeight="true" outlineLevel="0" collapsed="false">
      <c r="A36" s="9" t="s">
        <v>345</v>
      </c>
      <c r="B36" s="26" t="n">
        <f aca="false">BP!B18-(BP!B27+BP!B40)</f>
        <v>26553</v>
      </c>
      <c r="C36" s="26" t="n">
        <f aca="false">BP!C18-(BP!C27+BP!C40)</f>
        <v>21537</v>
      </c>
      <c r="D36" s="26" t="n">
        <f aca="false">BP!D18-(BP!D27+BP!D40)</f>
        <v>-34107</v>
      </c>
      <c r="E36" s="26" t="n">
        <f aca="false">BP!E18-(BP!E27+BP!E40)</f>
        <v>62611</v>
      </c>
      <c r="F36" s="12" t="s">
        <v>346</v>
      </c>
    </row>
  </sheetData>
  <mergeCells count="9">
    <mergeCell ref="A1:F1"/>
    <mergeCell ref="A2:F2"/>
    <mergeCell ref="A5:F5"/>
    <mergeCell ref="A10:F10"/>
    <mergeCell ref="A16:F16"/>
    <mergeCell ref="A21:F21"/>
    <mergeCell ref="A24:F24"/>
    <mergeCell ref="A29:F29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4" min="2" style="1" width="18"/>
    <col collapsed="false" customWidth="true" hidden="false" outlineLevel="0" max="5" min="5" style="1" width="70"/>
  </cols>
  <sheetData>
    <row r="1" customFormat="false" ht="21.75" hidden="false" customHeight="true" outlineLevel="0" collapsed="false">
      <c r="A1" s="2" t="s">
        <v>347</v>
      </c>
      <c r="B1" s="2"/>
      <c r="C1" s="2"/>
      <c r="D1" s="2"/>
      <c r="E1" s="2"/>
    </row>
    <row r="2" customFormat="false" ht="21.75" hidden="false" customHeight="true" outlineLevel="0" collapsed="false">
      <c r="A2" s="3" t="s">
        <v>348</v>
      </c>
      <c r="B2" s="3"/>
      <c r="C2" s="3"/>
      <c r="D2" s="3"/>
      <c r="E2" s="3"/>
    </row>
    <row r="4" customFormat="false" ht="15" hidden="false" customHeight="true" outlineLevel="0" collapsed="false">
      <c r="A4" s="4"/>
      <c r="B4" s="44" t="s">
        <v>349</v>
      </c>
      <c r="C4" s="5" t="s">
        <v>350</v>
      </c>
      <c r="D4" s="45" t="s">
        <v>351</v>
      </c>
      <c r="E4" s="4" t="s">
        <v>352</v>
      </c>
    </row>
    <row r="5" customFormat="false" ht="18" hidden="false" customHeight="true" outlineLevel="0" collapsed="false">
      <c r="A5" s="6" t="s">
        <v>353</v>
      </c>
      <c r="B5" s="6"/>
      <c r="C5" s="6"/>
      <c r="D5" s="6"/>
      <c r="E5" s="6"/>
    </row>
    <row r="6" customFormat="false" ht="15" hidden="false" customHeight="true" outlineLevel="0" collapsed="false">
      <c r="A6" s="9" t="s">
        <v>354</v>
      </c>
      <c r="B6" s="46" t="n">
        <v>5.2</v>
      </c>
      <c r="C6" s="46" t="n">
        <v>5.05</v>
      </c>
      <c r="D6" s="46" t="n">
        <v>4.9</v>
      </c>
      <c r="E6" s="12" t="s">
        <v>355</v>
      </c>
    </row>
    <row r="7" customFormat="false" ht="15" hidden="false" customHeight="true" outlineLevel="0" collapsed="false">
      <c r="A7" s="9" t="s">
        <v>356</v>
      </c>
      <c r="B7" s="46" t="n">
        <v>6</v>
      </c>
      <c r="C7" s="46" t="n">
        <v>5.82</v>
      </c>
      <c r="D7" s="46" t="n">
        <v>5.65</v>
      </c>
      <c r="E7" s="12" t="s">
        <v>357</v>
      </c>
    </row>
    <row r="8" customFormat="false" ht="15" hidden="false" customHeight="true" outlineLevel="0" collapsed="false">
      <c r="A8" s="9" t="s">
        <v>358</v>
      </c>
      <c r="B8" s="46" t="n">
        <v>5.4</v>
      </c>
      <c r="C8" s="46" t="n">
        <v>5.1</v>
      </c>
      <c r="D8" s="46" t="n">
        <v>4.8</v>
      </c>
      <c r="E8" s="12" t="s">
        <v>359</v>
      </c>
    </row>
    <row r="9" customFormat="false" ht="15" hidden="false" customHeight="true" outlineLevel="0" collapsed="false">
      <c r="A9" s="9" t="s">
        <v>360</v>
      </c>
      <c r="B9" s="46" t="n">
        <v>6.2</v>
      </c>
      <c r="C9" s="46" t="n">
        <v>5.85</v>
      </c>
      <c r="D9" s="46" t="n">
        <v>5.55</v>
      </c>
      <c r="E9" s="11"/>
    </row>
    <row r="10" customFormat="false" ht="15" hidden="false" customHeight="true" outlineLevel="0" collapsed="false">
      <c r="A10" s="9" t="s">
        <v>361</v>
      </c>
      <c r="B10" s="47" t="n">
        <v>0.135</v>
      </c>
      <c r="C10" s="47" t="n">
        <v>0.115</v>
      </c>
      <c r="D10" s="47" t="n">
        <v>0.1</v>
      </c>
      <c r="E10" s="12" t="s">
        <v>362</v>
      </c>
    </row>
    <row r="11" customFormat="false" ht="15" hidden="false" customHeight="true" outlineLevel="0" collapsed="false">
      <c r="A11" s="9" t="s">
        <v>363</v>
      </c>
      <c r="B11" s="47" t="n">
        <v>0.06</v>
      </c>
      <c r="C11" s="47" t="n">
        <v>0.045</v>
      </c>
      <c r="D11" s="47" t="n">
        <v>0.035</v>
      </c>
      <c r="E11" s="11"/>
    </row>
    <row r="13" customFormat="false" ht="18" hidden="false" customHeight="true" outlineLevel="0" collapsed="false">
      <c r="A13" s="6" t="s">
        <v>364</v>
      </c>
      <c r="B13" s="6"/>
      <c r="C13" s="6"/>
      <c r="D13" s="6"/>
      <c r="E13" s="6"/>
    </row>
    <row r="14" customFormat="false" ht="21.75" hidden="false" customHeight="true" outlineLevel="0" collapsed="false">
      <c r="A14" s="9" t="s">
        <v>365</v>
      </c>
      <c r="B14" s="47" t="n">
        <v>0.03</v>
      </c>
      <c r="C14" s="47" t="n">
        <v>0.06</v>
      </c>
      <c r="D14" s="47" t="n">
        <v>0.1</v>
      </c>
      <c r="E14" s="12" t="s">
        <v>366</v>
      </c>
    </row>
    <row r="15" customFormat="false" ht="15" hidden="false" customHeight="true" outlineLevel="0" collapsed="false">
      <c r="A15" s="9" t="s">
        <v>367</v>
      </c>
      <c r="B15" s="47" t="n">
        <v>0.02</v>
      </c>
      <c r="C15" s="47" t="n">
        <v>0.05</v>
      </c>
      <c r="D15" s="47" t="n">
        <v>0.09</v>
      </c>
      <c r="E15" s="11"/>
    </row>
    <row r="17" customFormat="false" ht="18" hidden="false" customHeight="true" outlineLevel="0" collapsed="false">
      <c r="A17" s="6" t="s">
        <v>368</v>
      </c>
      <c r="B17" s="6"/>
      <c r="C17" s="6"/>
      <c r="D17" s="6"/>
      <c r="E17" s="6"/>
    </row>
    <row r="18" customFormat="false" ht="15" hidden="false" customHeight="true" outlineLevel="0" collapsed="false">
      <c r="A18" s="9" t="s">
        <v>369</v>
      </c>
      <c r="B18" s="48" t="n">
        <f aca="false">B22</f>
        <v>41600</v>
      </c>
      <c r="C18" s="48" t="n">
        <f aca="false">C22</f>
        <v>27775</v>
      </c>
      <c r="D18" s="48" t="n">
        <f aca="false">D22</f>
        <v>36750</v>
      </c>
      <c r="E18" s="12" t="s">
        <v>370</v>
      </c>
    </row>
    <row r="19" customFormat="false" ht="21.75" hidden="false" customHeight="true" outlineLevel="0" collapsed="false">
      <c r="A19" s="9" t="s">
        <v>371</v>
      </c>
      <c r="B19" s="46" t="n">
        <v>8</v>
      </c>
      <c r="C19" s="46"/>
      <c r="D19" s="46"/>
      <c r="E19" s="12" t="s">
        <v>372</v>
      </c>
    </row>
    <row r="20" customFormat="false" ht="15" hidden="false" customHeight="true" outlineLevel="0" collapsed="false">
      <c r="A20" s="9" t="s">
        <v>373</v>
      </c>
      <c r="B20" s="46"/>
      <c r="C20" s="46" t="n">
        <v>5.5</v>
      </c>
      <c r="D20" s="46"/>
      <c r="E20" s="12" t="s">
        <v>374</v>
      </c>
    </row>
    <row r="21" customFormat="false" ht="21.75" hidden="false" customHeight="true" outlineLevel="0" collapsed="false">
      <c r="A21" s="9" t="s">
        <v>375</v>
      </c>
      <c r="B21" s="46"/>
      <c r="C21" s="46"/>
      <c r="D21" s="46" t="n">
        <v>7.5</v>
      </c>
      <c r="E21" s="12" t="s">
        <v>376</v>
      </c>
    </row>
    <row r="22" customFormat="false" ht="15" hidden="false" customHeight="true" outlineLevel="0" collapsed="false">
      <c r="A22" s="9" t="s">
        <v>377</v>
      </c>
      <c r="B22" s="48" t="n">
        <f aca="false">ROUND(B19*B6*1000,0)</f>
        <v>41600</v>
      </c>
      <c r="C22" s="48" t="n">
        <f aca="false">ROUND(C20*C6*1000,0)</f>
        <v>27775</v>
      </c>
      <c r="D22" s="48" t="n">
        <f aca="false">ROUND(D21*D6*1000,0)</f>
        <v>36750</v>
      </c>
      <c r="E22" s="12" t="s">
        <v>378</v>
      </c>
    </row>
    <row r="24" customFormat="false" ht="18" hidden="false" customHeight="true" outlineLevel="0" collapsed="false">
      <c r="A24" s="6" t="s">
        <v>379</v>
      </c>
      <c r="B24" s="6"/>
      <c r="C24" s="6"/>
      <c r="D24" s="6"/>
      <c r="E24" s="6"/>
    </row>
    <row r="25" customFormat="false" ht="21.75" hidden="false" customHeight="true" outlineLevel="0" collapsed="false">
      <c r="A25" s="9" t="s">
        <v>380</v>
      </c>
      <c r="B25" s="46" t="n">
        <v>3</v>
      </c>
      <c r="C25" s="46" t="n">
        <v>5</v>
      </c>
      <c r="D25" s="46" t="n">
        <v>7</v>
      </c>
      <c r="E25" s="12" t="s">
        <v>381</v>
      </c>
    </row>
    <row r="26" customFormat="false" ht="15" hidden="false" customHeight="true" outlineLevel="0" collapsed="false">
      <c r="A26" s="9" t="s">
        <v>382</v>
      </c>
      <c r="B26" s="48" t="n">
        <f aca="false">ROUND(B25*B8*1000,0)</f>
        <v>16200</v>
      </c>
      <c r="C26" s="48" t="n">
        <f aca="false">ROUND(C25*C8*1000,0)</f>
        <v>25500</v>
      </c>
      <c r="D26" s="48" t="n">
        <f aca="false">ROUND(D25*D8*1000,0)</f>
        <v>33600</v>
      </c>
      <c r="E26" s="11"/>
    </row>
    <row r="28" customFormat="false" ht="18" hidden="false" customHeight="true" outlineLevel="0" collapsed="false">
      <c r="A28" s="6" t="s">
        <v>383</v>
      </c>
      <c r="B28" s="6"/>
      <c r="C28" s="6"/>
      <c r="D28" s="6"/>
      <c r="E28" s="6"/>
    </row>
    <row r="29" customFormat="false" ht="21.75" hidden="false" customHeight="true" outlineLevel="0" collapsed="false">
      <c r="A29" s="9" t="s">
        <v>384</v>
      </c>
      <c r="B29" s="10" t="n">
        <v>70000</v>
      </c>
      <c r="C29" s="10" t="n">
        <v>130000</v>
      </c>
      <c r="D29" s="10" t="n">
        <v>218000</v>
      </c>
      <c r="E29" s="12" t="s">
        <v>385</v>
      </c>
    </row>
    <row r="30" customFormat="false" ht="15" hidden="false" customHeight="true" outlineLevel="0" collapsed="false">
      <c r="A30" s="9" t="s">
        <v>386</v>
      </c>
      <c r="B30" s="10" t="n">
        <v>60000</v>
      </c>
      <c r="C30" s="10" t="n">
        <v>110000</v>
      </c>
      <c r="D30" s="10" t="n">
        <v>180000</v>
      </c>
      <c r="E30" s="12" t="s">
        <v>387</v>
      </c>
    </row>
    <row r="31" customFormat="false" ht="15" hidden="false" customHeight="true" outlineLevel="0" collapsed="false">
      <c r="A31" s="9" t="s">
        <v>388</v>
      </c>
      <c r="B31" s="47" t="n">
        <v>0.04</v>
      </c>
      <c r="C31" s="47" t="n">
        <v>0.03</v>
      </c>
      <c r="D31" s="47" t="n">
        <v>0.025</v>
      </c>
      <c r="E31" s="12" t="s">
        <v>389</v>
      </c>
    </row>
    <row r="33" customFormat="false" ht="18" hidden="false" customHeight="true" outlineLevel="0" collapsed="false">
      <c r="A33" s="6" t="s">
        <v>390</v>
      </c>
      <c r="B33" s="6"/>
      <c r="C33" s="6"/>
      <c r="D33" s="6"/>
      <c r="E33" s="6"/>
    </row>
    <row r="34" customFormat="false" ht="21.75" hidden="false" customHeight="true" outlineLevel="0" collapsed="false">
      <c r="A34" s="9" t="s">
        <v>391</v>
      </c>
      <c r="B34" s="10" t="n">
        <v>162000</v>
      </c>
      <c r="C34" s="10" t="n">
        <v>180000</v>
      </c>
      <c r="D34" s="10" t="n">
        <v>250000</v>
      </c>
      <c r="E34" s="12" t="s">
        <v>392</v>
      </c>
    </row>
    <row r="35" customFormat="false" ht="15" hidden="false" customHeight="true" outlineLevel="0" collapsed="false">
      <c r="A35" s="9" t="s">
        <v>393</v>
      </c>
      <c r="B35" s="10" t="n">
        <v>80000</v>
      </c>
      <c r="C35" s="10" t="n">
        <v>120000</v>
      </c>
      <c r="D35" s="10" t="n">
        <v>200000</v>
      </c>
      <c r="E35" s="12" t="s">
        <v>394</v>
      </c>
    </row>
    <row r="36" customFormat="false" ht="21.75" hidden="false" customHeight="true" outlineLevel="0" collapsed="false">
      <c r="A36" s="9" t="s">
        <v>395</v>
      </c>
      <c r="B36" s="47" t="n">
        <v>0.5</v>
      </c>
      <c r="C36" s="47" t="n">
        <v>0.55</v>
      </c>
      <c r="D36" s="47" t="n">
        <v>0.6</v>
      </c>
      <c r="E36" s="12" t="s">
        <v>396</v>
      </c>
    </row>
    <row r="37" customFormat="false" ht="21.75" hidden="false" customHeight="true" outlineLevel="0" collapsed="false">
      <c r="A37" s="9" t="s">
        <v>397</v>
      </c>
      <c r="B37" s="10" t="n">
        <v>150000</v>
      </c>
      <c r="C37" s="10" t="n">
        <v>130000</v>
      </c>
      <c r="D37" s="10" t="n">
        <v>110000</v>
      </c>
      <c r="E37" s="12" t="s">
        <v>398</v>
      </c>
    </row>
    <row r="38" customFormat="false" ht="15" hidden="false" customHeight="true" outlineLevel="0" collapsed="false">
      <c r="A38" s="9" t="s">
        <v>399</v>
      </c>
      <c r="B38" s="10" t="n">
        <v>130000</v>
      </c>
      <c r="C38" s="10" t="n">
        <v>110000</v>
      </c>
      <c r="D38" s="10" t="n">
        <v>90000</v>
      </c>
      <c r="E38" s="11"/>
    </row>
    <row r="40" customFormat="false" ht="18" hidden="false" customHeight="true" outlineLevel="0" collapsed="false">
      <c r="A40" s="6" t="s">
        <v>400</v>
      </c>
      <c r="B40" s="6"/>
      <c r="C40" s="6"/>
      <c r="D40" s="6"/>
      <c r="E40" s="6"/>
    </row>
    <row r="41" customFormat="false" ht="21.75" hidden="false" customHeight="true" outlineLevel="0" collapsed="false">
      <c r="A41" s="9" t="s">
        <v>401</v>
      </c>
      <c r="B41" s="10" t="n">
        <v>100000</v>
      </c>
      <c r="C41" s="10" t="n">
        <v>95000</v>
      </c>
      <c r="D41" s="10" t="n">
        <v>90000</v>
      </c>
      <c r="E41" s="12" t="s">
        <v>402</v>
      </c>
    </row>
    <row r="42" customFormat="false" ht="15" hidden="false" customHeight="true" outlineLevel="0" collapsed="false">
      <c r="A42" s="9" t="s">
        <v>403</v>
      </c>
      <c r="B42" s="10" t="n">
        <v>105000</v>
      </c>
      <c r="C42" s="10" t="n">
        <v>100000</v>
      </c>
      <c r="D42" s="10" t="n">
        <v>95000</v>
      </c>
      <c r="E42" s="11"/>
    </row>
    <row r="44" customFormat="false" ht="18" hidden="false" customHeight="true" outlineLevel="0" collapsed="false">
      <c r="A44" s="6" t="s">
        <v>404</v>
      </c>
      <c r="B44" s="6"/>
      <c r="C44" s="6"/>
      <c r="D44" s="6"/>
      <c r="E44" s="6"/>
    </row>
    <row r="45" customFormat="false" ht="21.75" hidden="false" customHeight="true" outlineLevel="0" collapsed="false">
      <c r="A45" s="9" t="s">
        <v>405</v>
      </c>
      <c r="B45" s="47" t="n">
        <v>0.08</v>
      </c>
      <c r="C45" s="47" t="n">
        <v>0.04</v>
      </c>
      <c r="D45" s="47" t="n">
        <v>0.02</v>
      </c>
      <c r="E45" s="12" t="s">
        <v>406</v>
      </c>
    </row>
    <row r="46" customFormat="false" ht="15" hidden="false" customHeight="true" outlineLevel="0" collapsed="false">
      <c r="A46" s="9" t="s">
        <v>407</v>
      </c>
      <c r="B46" s="47" t="n">
        <v>0.06</v>
      </c>
      <c r="C46" s="47" t="n">
        <v>0.04</v>
      </c>
      <c r="D46" s="47" t="n">
        <v>0.02</v>
      </c>
      <c r="E46" s="11"/>
    </row>
    <row r="47" customFormat="false" ht="15" hidden="false" customHeight="true" outlineLevel="0" collapsed="false">
      <c r="A47" s="9" t="s">
        <v>408</v>
      </c>
      <c r="B47" s="47" t="n">
        <v>0.06</v>
      </c>
      <c r="C47" s="47" t="n">
        <v>0.045</v>
      </c>
      <c r="D47" s="47" t="n">
        <v>0.03</v>
      </c>
      <c r="E47" s="12" t="s">
        <v>409</v>
      </c>
    </row>
    <row r="49" customFormat="false" ht="18" hidden="false" customHeight="true" outlineLevel="0" collapsed="false">
      <c r="A49" s="6" t="s">
        <v>410</v>
      </c>
      <c r="B49" s="6"/>
      <c r="C49" s="6"/>
      <c r="D49" s="6"/>
      <c r="E49" s="6"/>
    </row>
    <row r="50" customFormat="false" ht="21.75" hidden="false" customHeight="true" outlineLevel="0" collapsed="false">
      <c r="A50" s="9" t="s">
        <v>411</v>
      </c>
      <c r="B50" s="47" t="n">
        <v>0.15</v>
      </c>
      <c r="C50" s="47" t="n">
        <v>0.13</v>
      </c>
      <c r="D50" s="47" t="n">
        <v>0.11</v>
      </c>
      <c r="E50" s="12" t="s">
        <v>412</v>
      </c>
    </row>
    <row r="51" customFormat="false" ht="15" hidden="false" customHeight="true" outlineLevel="0" collapsed="false">
      <c r="A51" s="9" t="s">
        <v>413</v>
      </c>
      <c r="B51" s="47" t="n">
        <v>0.14</v>
      </c>
      <c r="C51" s="47" t="n">
        <v>0.12</v>
      </c>
      <c r="D51" s="47" t="n">
        <v>0.1</v>
      </c>
      <c r="E51" s="11"/>
    </row>
    <row r="52" customFormat="false" ht="21.75" hidden="false" customHeight="true" outlineLevel="0" collapsed="false">
      <c r="A52" s="9" t="s">
        <v>414</v>
      </c>
      <c r="B52" s="10" t="n">
        <v>5000</v>
      </c>
      <c r="C52" s="10" t="n">
        <v>8000</v>
      </c>
      <c r="D52" s="10" t="n">
        <v>12000</v>
      </c>
      <c r="E52" s="12" t="s">
        <v>415</v>
      </c>
    </row>
    <row r="53" customFormat="false" ht="15" hidden="false" customHeight="true" outlineLevel="0" collapsed="false">
      <c r="A53" s="9" t="s">
        <v>416</v>
      </c>
      <c r="B53" s="10" t="n">
        <v>5000</v>
      </c>
      <c r="C53" s="10" t="n">
        <v>8000</v>
      </c>
      <c r="D53" s="10" t="n">
        <v>12000</v>
      </c>
      <c r="E53" s="11"/>
    </row>
    <row r="54" customFormat="false" ht="15" hidden="false" customHeight="true" outlineLevel="0" collapsed="false">
      <c r="A54" s="9" t="s">
        <v>417</v>
      </c>
      <c r="B54" s="10" t="n">
        <v>30000</v>
      </c>
      <c r="C54" s="10" t="n">
        <v>40000</v>
      </c>
      <c r="D54" s="10" t="n">
        <v>50000</v>
      </c>
      <c r="E54" s="12" t="s">
        <v>418</v>
      </c>
    </row>
    <row r="55" customFormat="false" ht="15" hidden="false" customHeight="true" outlineLevel="0" collapsed="false">
      <c r="A55" s="9" t="s">
        <v>419</v>
      </c>
      <c r="B55" s="10" t="n">
        <v>25000</v>
      </c>
      <c r="C55" s="10" t="n">
        <v>35000</v>
      </c>
      <c r="D55" s="10" t="n">
        <v>45000</v>
      </c>
      <c r="E55" s="11"/>
    </row>
    <row r="57" customFormat="false" ht="18" hidden="false" customHeight="true" outlineLevel="0" collapsed="false">
      <c r="A57" s="6" t="s">
        <v>420</v>
      </c>
      <c r="B57" s="6"/>
      <c r="C57" s="6"/>
      <c r="D57" s="6"/>
      <c r="E57" s="6"/>
    </row>
    <row r="58" customFormat="false" ht="21.75" hidden="false" customHeight="true" outlineLevel="0" collapsed="false">
      <c r="A58" s="9" t="s">
        <v>421</v>
      </c>
      <c r="B58" s="10" t="n">
        <v>226560</v>
      </c>
      <c r="C58" s="10" t="n">
        <v>226560</v>
      </c>
      <c r="D58" s="10" t="n">
        <v>226560</v>
      </c>
      <c r="E58" s="12" t="s">
        <v>422</v>
      </c>
    </row>
    <row r="59" customFormat="false" ht="21.75" hidden="false" customHeight="true" outlineLevel="0" collapsed="false">
      <c r="A59" s="9" t="s">
        <v>423</v>
      </c>
      <c r="B59" s="47" t="n">
        <v>0.35</v>
      </c>
      <c r="C59" s="47" t="n">
        <v>0.3</v>
      </c>
      <c r="D59" s="47" t="n">
        <v>0.21</v>
      </c>
      <c r="E59" s="12" t="s">
        <v>424</v>
      </c>
    </row>
    <row r="60" customFormat="false" ht="21.75" hidden="false" customHeight="true" outlineLevel="0" collapsed="false">
      <c r="A60" s="9" t="s">
        <v>425</v>
      </c>
      <c r="B60" s="48" t="n">
        <f aca="false">ROUND(B58*B59,0)</f>
        <v>79296</v>
      </c>
      <c r="C60" s="48" t="n">
        <f aca="false">ROUND(C58*C59,0)</f>
        <v>67968</v>
      </c>
      <c r="D60" s="48" t="n">
        <f aca="false">ROUND(D58*D59,0)</f>
        <v>47578</v>
      </c>
      <c r="E60" s="12" t="s">
        <v>426</v>
      </c>
    </row>
  </sheetData>
  <mergeCells count="12">
    <mergeCell ref="A1:E1"/>
    <mergeCell ref="A2:E2"/>
    <mergeCell ref="A5:E5"/>
    <mergeCell ref="A13:E13"/>
    <mergeCell ref="A17:E17"/>
    <mergeCell ref="A24:E24"/>
    <mergeCell ref="A28:E28"/>
    <mergeCell ref="A33:E33"/>
    <mergeCell ref="A40:E40"/>
    <mergeCell ref="A44:E44"/>
    <mergeCell ref="A49:E49"/>
    <mergeCell ref="A57:E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7" min="2" style="1" width="14"/>
    <col collapsed="false" customWidth="true" hidden="false" outlineLevel="0" max="8" min="8" style="1" width="50"/>
  </cols>
  <sheetData>
    <row r="1" customFormat="false" ht="21.75" hidden="false" customHeight="true" outlineLevel="0" collapsed="false">
      <c r="A1" s="2" t="s">
        <v>427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428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B3" s="49" t="s">
        <v>429</v>
      </c>
      <c r="C3" s="49"/>
      <c r="D3" s="50" t="s">
        <v>430</v>
      </c>
      <c r="E3" s="50"/>
      <c r="F3" s="51" t="s">
        <v>431</v>
      </c>
      <c r="G3" s="51"/>
    </row>
    <row r="4" customFormat="false" ht="15" hidden="false" customHeight="true" outlineLevel="0" collapsed="false">
      <c r="B4" s="4" t="s">
        <v>432</v>
      </c>
      <c r="C4" s="4" t="s">
        <v>433</v>
      </c>
      <c r="D4" s="4" t="s">
        <v>432</v>
      </c>
      <c r="E4" s="4" t="s">
        <v>433</v>
      </c>
      <c r="F4" s="4" t="s">
        <v>432</v>
      </c>
      <c r="G4" s="4" t="s">
        <v>433</v>
      </c>
      <c r="H4" s="52" t="s">
        <v>6</v>
      </c>
    </row>
    <row r="5" customFormat="false" ht="18" hidden="false" customHeight="true" outlineLevel="0" collapsed="false">
      <c r="A5" s="6" t="s">
        <v>434</v>
      </c>
      <c r="B5" s="6"/>
      <c r="C5" s="6"/>
      <c r="D5" s="6"/>
      <c r="E5" s="6"/>
      <c r="F5" s="6"/>
      <c r="G5" s="6"/>
      <c r="H5" s="6"/>
    </row>
    <row r="6" customFormat="false" ht="21.75" hidden="false" customHeight="true" outlineLevel="0" collapsed="false">
      <c r="A6" s="9" t="s">
        <v>435</v>
      </c>
      <c r="B6" s="26" t="n">
        <f aca="false">ROUND(425160*(1+Premissas_Runway!B14),0)</f>
        <v>437915</v>
      </c>
      <c r="C6" s="26" t="n">
        <f aca="false">ROUND(B6*(1+Premissas_Runway!B15),0)</f>
        <v>446673</v>
      </c>
      <c r="D6" s="26" t="n">
        <f aca="false">ROUND(425160*(1+Premissas_Runway!C14),0)</f>
        <v>450670</v>
      </c>
      <c r="E6" s="26" t="n">
        <f aca="false">ROUND(D6*(1+Premissas_Runway!C15),0)</f>
        <v>473204</v>
      </c>
      <c r="F6" s="26" t="n">
        <f aca="false">ROUND(425160*(1+Premissas_Runway!D14),0)</f>
        <v>467676</v>
      </c>
      <c r="G6" s="26" t="n">
        <f aca="false">ROUND(F6*(1+Premissas_Runway!D15),0)</f>
        <v>509767</v>
      </c>
      <c r="H6" s="12" t="s">
        <v>436</v>
      </c>
    </row>
    <row r="7" customFormat="false" ht="15" hidden="false" customHeight="true" outlineLevel="0" collapsed="false">
      <c r="A7" s="9" t="s">
        <v>437</v>
      </c>
      <c r="B7" s="26" t="n">
        <f aca="false">Premissas_Runway!B29</f>
        <v>70000</v>
      </c>
      <c r="C7" s="26" t="n">
        <f aca="false">Premissas_Runway!B30</f>
        <v>60000</v>
      </c>
      <c r="D7" s="26" t="n">
        <f aca="false">Premissas_Runway!C29</f>
        <v>130000</v>
      </c>
      <c r="E7" s="26" t="n">
        <f aca="false">Premissas_Runway!C30</f>
        <v>110000</v>
      </c>
      <c r="F7" s="26" t="n">
        <f aca="false">Premissas_Runway!D29</f>
        <v>218000</v>
      </c>
      <c r="G7" s="26" t="n">
        <f aca="false">Premissas_Runway!D30</f>
        <v>180000</v>
      </c>
      <c r="H7" s="12" t="s">
        <v>438</v>
      </c>
    </row>
    <row r="8" customFormat="false" ht="15" hidden="false" customHeight="true" outlineLevel="0" collapsed="false">
      <c r="A8" s="9" t="s">
        <v>439</v>
      </c>
      <c r="B8" s="26" t="n">
        <f aca="false">Premissas_Runway!B22</f>
        <v>41600</v>
      </c>
      <c r="C8" s="26" t="n">
        <f aca="false">Premissas_Runway!B26</f>
        <v>16200</v>
      </c>
      <c r="D8" s="26" t="n">
        <f aca="false">Premissas_Runway!C22</f>
        <v>27775</v>
      </c>
      <c r="E8" s="26" t="n">
        <f aca="false">Premissas_Runway!C26</f>
        <v>25500</v>
      </c>
      <c r="F8" s="26" t="n">
        <f aca="false">Premissas_Runway!D22</f>
        <v>36750</v>
      </c>
      <c r="G8" s="26" t="n">
        <f aca="false">Premissas_Runway!D26</f>
        <v>33600</v>
      </c>
      <c r="H8" s="12" t="s">
        <v>440</v>
      </c>
    </row>
    <row r="9" customFormat="false" ht="15" hidden="false" customHeight="true" outlineLevel="0" collapsed="false">
      <c r="A9" s="13" t="s">
        <v>441</v>
      </c>
      <c r="B9" s="14" t="n">
        <f aca="false">B6+B7+B8</f>
        <v>549515</v>
      </c>
      <c r="C9" s="14" t="n">
        <f aca="false">C6+C7+C8</f>
        <v>522873</v>
      </c>
      <c r="D9" s="14" t="n">
        <f aca="false">D6+D7+D8</f>
        <v>608445</v>
      </c>
      <c r="E9" s="14" t="n">
        <f aca="false">E6+E7+E8</f>
        <v>608704</v>
      </c>
      <c r="F9" s="14" t="n">
        <f aca="false">F6+F7+F8</f>
        <v>722426</v>
      </c>
      <c r="G9" s="14" t="n">
        <f aca="false">G6+G7+G8</f>
        <v>723367</v>
      </c>
      <c r="H9" s="15"/>
    </row>
    <row r="10" customFormat="false" ht="21.75" hidden="false" customHeight="true" outlineLevel="0" collapsed="false">
      <c r="A10" s="9" t="s">
        <v>442</v>
      </c>
      <c r="B10" s="26" t="n">
        <f aca="false">ROUND(-B9*0.26,0)</f>
        <v>-142874</v>
      </c>
      <c r="C10" s="26" t="n">
        <f aca="false">ROUND(-C9*0.26,0)</f>
        <v>-135947</v>
      </c>
      <c r="D10" s="26" t="n">
        <f aca="false">ROUND(-D9*0.26,0)</f>
        <v>-158196</v>
      </c>
      <c r="E10" s="26" t="n">
        <f aca="false">ROUND(-E9*0.26,0)</f>
        <v>-158263</v>
      </c>
      <c r="F10" s="26" t="n">
        <f aca="false">ROUND(-F9*0.26,0)</f>
        <v>-187831</v>
      </c>
      <c r="G10" s="26" t="n">
        <f aca="false">ROUND(-G9*0.26,0)</f>
        <v>-188075</v>
      </c>
      <c r="H10" s="12" t="s">
        <v>443</v>
      </c>
    </row>
    <row r="11" customFormat="false" ht="15" hidden="false" customHeight="true" outlineLevel="0" collapsed="false">
      <c r="A11" s="13" t="s">
        <v>444</v>
      </c>
      <c r="B11" s="14" t="n">
        <f aca="false">B9+B10</f>
        <v>406641</v>
      </c>
      <c r="C11" s="14" t="n">
        <f aca="false">C9+C10</f>
        <v>386926</v>
      </c>
      <c r="D11" s="14" t="n">
        <f aca="false">D9+D10</f>
        <v>450249</v>
      </c>
      <c r="E11" s="14" t="n">
        <f aca="false">E9+E10</f>
        <v>450441</v>
      </c>
      <c r="F11" s="14" t="n">
        <f aca="false">F9+F10</f>
        <v>534595</v>
      </c>
      <c r="G11" s="14" t="n">
        <f aca="false">G9+G10</f>
        <v>535292</v>
      </c>
      <c r="H11" s="15"/>
    </row>
    <row r="13" customFormat="false" ht="18" hidden="false" customHeight="true" outlineLevel="0" collapsed="false">
      <c r="A13" s="6" t="s">
        <v>445</v>
      </c>
      <c r="B13" s="6"/>
      <c r="C13" s="6"/>
      <c r="D13" s="6"/>
      <c r="E13" s="6"/>
      <c r="F13" s="6"/>
      <c r="G13" s="6"/>
      <c r="H13" s="6"/>
    </row>
    <row r="14" customFormat="false" ht="15" hidden="false" customHeight="true" outlineLevel="0" collapsed="false">
      <c r="A14" s="9" t="s">
        <v>446</v>
      </c>
      <c r="B14" s="26" t="n">
        <f aca="false">ROUND(-439653*(1+Premissas_Runway!B45),0)</f>
        <v>-474825</v>
      </c>
      <c r="C14" s="26" t="n">
        <f aca="false">ROUND(B14*(1+Premissas_Runway!B46),0)</f>
        <v>-503315</v>
      </c>
      <c r="D14" s="26" t="n">
        <f aca="false">ROUND(-439653*(1+Premissas_Runway!C45),0)</f>
        <v>-457239</v>
      </c>
      <c r="E14" s="26" t="n">
        <f aca="false">ROUND(D14*(1+Premissas_Runway!C46),0)</f>
        <v>-475529</v>
      </c>
      <c r="F14" s="26" t="n">
        <f aca="false">ROUND(-439653*(1+Premissas_Runway!D45),0)</f>
        <v>-448446</v>
      </c>
      <c r="G14" s="26" t="n">
        <f aca="false">ROUND(F14*(1+Premissas_Runway!D46),0)</f>
        <v>-457415</v>
      </c>
      <c r="H14" s="12" t="s">
        <v>447</v>
      </c>
    </row>
    <row r="15" customFormat="false" ht="15" hidden="false" customHeight="true" outlineLevel="0" collapsed="false">
      <c r="A15" s="9" t="s">
        <v>448</v>
      </c>
      <c r="B15" s="26" t="n">
        <f aca="false">ROUND(-88419*(1+Premissas_Runway!B47),0)</f>
        <v>-93724</v>
      </c>
      <c r="C15" s="26" t="n">
        <f aca="false">ROUND(B15*(1+Premissas_Runway!B47),0)</f>
        <v>-99347</v>
      </c>
      <c r="D15" s="26" t="n">
        <f aca="false">ROUND(-88419*(1+Premissas_Runway!C47),0)</f>
        <v>-92398</v>
      </c>
      <c r="E15" s="26" t="n">
        <f aca="false">ROUND(D15*(1+Premissas_Runway!C47),0)</f>
        <v>-96556</v>
      </c>
      <c r="F15" s="26" t="n">
        <f aca="false">ROUND(-88419*(1+Premissas_Runway!D47),0)</f>
        <v>-91072</v>
      </c>
      <c r="G15" s="26" t="n">
        <f aca="false">ROUND(F15*(1+Premissas_Runway!D47),0)</f>
        <v>-93804</v>
      </c>
      <c r="H15" s="12" t="s">
        <v>449</v>
      </c>
    </row>
    <row r="16" customFormat="false" ht="21.75" hidden="false" customHeight="true" outlineLevel="0" collapsed="false">
      <c r="A16" s="9" t="s">
        <v>450</v>
      </c>
      <c r="B16" s="26" t="n">
        <f aca="false">ROUND(-60087*(1+Premissas_Runway!B47),0)</f>
        <v>-63692</v>
      </c>
      <c r="C16" s="26" t="n">
        <f aca="false">ROUND(B16*(1+Premissas_Runway!B47),0)</f>
        <v>-67514</v>
      </c>
      <c r="D16" s="26" t="n">
        <f aca="false">ROUND(-60087*(1+Premissas_Runway!C47),0)</f>
        <v>-62791</v>
      </c>
      <c r="E16" s="26" t="n">
        <f aca="false">ROUND(D16*(1+Premissas_Runway!C47),0)</f>
        <v>-65617</v>
      </c>
      <c r="F16" s="26" t="n">
        <f aca="false">ROUND(-60087*(1+Premissas_Runway!D47),0)</f>
        <v>-61890</v>
      </c>
      <c r="G16" s="26" t="n">
        <f aca="false">ROUND(F16*(1+Premissas_Runway!D47),0)</f>
        <v>-63747</v>
      </c>
      <c r="H16" s="12" t="s">
        <v>451</v>
      </c>
    </row>
    <row r="17" customFormat="false" ht="15" hidden="false" customHeight="true" outlineLevel="0" collapsed="false">
      <c r="A17" s="9" t="s">
        <v>452</v>
      </c>
      <c r="B17" s="26" t="n">
        <f aca="false">ROUND(-B7*Premissas_Runway!B31,0)</f>
        <v>-2800</v>
      </c>
      <c r="C17" s="26" t="n">
        <f aca="false">ROUND(-C7*Premissas_Runway!B31,0)</f>
        <v>-2400</v>
      </c>
      <c r="D17" s="26" t="n">
        <f aca="false">ROUND(-D7*Premissas_Runway!C31,0)</f>
        <v>-3900</v>
      </c>
      <c r="E17" s="26" t="n">
        <f aca="false">ROUND(-E7*Premissas_Runway!C31,0)</f>
        <v>-3300</v>
      </c>
      <c r="F17" s="26" t="n">
        <f aca="false">ROUND(-F7*Premissas_Runway!D31,0)</f>
        <v>-5450</v>
      </c>
      <c r="G17" s="26" t="n">
        <f aca="false">ROUND(-G7*Premissas_Runway!D31,0)</f>
        <v>-4500</v>
      </c>
      <c r="H17" s="12" t="s">
        <v>453</v>
      </c>
    </row>
    <row r="18" customFormat="false" ht="15" hidden="false" customHeight="true" outlineLevel="0" collapsed="false">
      <c r="A18" s="9" t="s">
        <v>454</v>
      </c>
      <c r="B18" s="26" t="n">
        <f aca="false">-Premissas_Runway!B41</f>
        <v>-100000</v>
      </c>
      <c r="C18" s="26" t="n">
        <f aca="false">-Premissas_Runway!B42</f>
        <v>-105000</v>
      </c>
      <c r="D18" s="26" t="n">
        <f aca="false">-Premissas_Runway!C41</f>
        <v>-95000</v>
      </c>
      <c r="E18" s="26" t="n">
        <f aca="false">-Premissas_Runway!C42</f>
        <v>-100000</v>
      </c>
      <c r="F18" s="26" t="n">
        <f aca="false">-Premissas_Runway!D41</f>
        <v>-90000</v>
      </c>
      <c r="G18" s="26" t="n">
        <f aca="false">-Premissas_Runway!D42</f>
        <v>-95000</v>
      </c>
      <c r="H18" s="12" t="s">
        <v>455</v>
      </c>
    </row>
    <row r="19" customFormat="false" ht="21.75" hidden="false" customHeight="true" outlineLevel="0" collapsed="false">
      <c r="A19" s="9" t="s">
        <v>456</v>
      </c>
      <c r="B19" s="26" t="n">
        <f aca="false">ROUND(-71062*(1+Premissas_Runway!B47),0)</f>
        <v>-75326</v>
      </c>
      <c r="C19" s="26" t="n">
        <f aca="false">ROUND(B19*(1+Premissas_Runway!B47),0)</f>
        <v>-79846</v>
      </c>
      <c r="D19" s="26" t="n">
        <f aca="false">ROUND(-71062*(1+Premissas_Runway!C47),0)</f>
        <v>-74260</v>
      </c>
      <c r="E19" s="26" t="n">
        <f aca="false">ROUND(D19*(1+Premissas_Runway!C47),0)</f>
        <v>-77602</v>
      </c>
      <c r="F19" s="26" t="n">
        <f aca="false">ROUND(-71062*(1+Premissas_Runway!D47),0)</f>
        <v>-73194</v>
      </c>
      <c r="G19" s="26" t="n">
        <f aca="false">ROUND(F19*(1+Premissas_Runway!D47),0)</f>
        <v>-75390</v>
      </c>
      <c r="H19" s="12" t="s">
        <v>457</v>
      </c>
    </row>
    <row r="20" customFormat="false" ht="15" hidden="false" customHeight="true" outlineLevel="0" collapsed="false">
      <c r="A20" s="13" t="s">
        <v>458</v>
      </c>
      <c r="B20" s="14" t="n">
        <f aca="false">B14+B15+B16+B17+B18+B19</f>
        <v>-810367</v>
      </c>
      <c r="C20" s="14" t="n">
        <f aca="false">C14+C15+C16+C17+C18+C19</f>
        <v>-857422</v>
      </c>
      <c r="D20" s="14" t="n">
        <f aca="false">D14+D15+D16+D17+D18+D19</f>
        <v>-785588</v>
      </c>
      <c r="E20" s="14" t="n">
        <f aca="false">E14+E15+E16+E17+E18+E19</f>
        <v>-818604</v>
      </c>
      <c r="F20" s="14" t="n">
        <f aca="false">F14+F15+F16+F17+F18+F19</f>
        <v>-770052</v>
      </c>
      <c r="G20" s="14" t="n">
        <f aca="false">G14+G15+G16+G17+G18+G19</f>
        <v>-789856</v>
      </c>
      <c r="H20" s="15"/>
    </row>
    <row r="22" customFormat="false" ht="18" hidden="false" customHeight="true" outlineLevel="0" collapsed="false">
      <c r="A22" s="6" t="s">
        <v>459</v>
      </c>
      <c r="B22" s="6"/>
      <c r="C22" s="6"/>
      <c r="D22" s="6"/>
      <c r="E22" s="6"/>
      <c r="F22" s="6"/>
      <c r="G22" s="6"/>
      <c r="H22" s="6"/>
    </row>
    <row r="23" customFormat="false" ht="15" hidden="false" customHeight="true" outlineLevel="0" collapsed="false">
      <c r="A23" s="13" t="s">
        <v>460</v>
      </c>
      <c r="B23" s="14" t="n">
        <f aca="false">B11+B20</f>
        <v>-403726</v>
      </c>
      <c r="C23" s="14" t="n">
        <f aca="false">C11+C20</f>
        <v>-470496</v>
      </c>
      <c r="D23" s="14" t="n">
        <f aca="false">D11+D20</f>
        <v>-335339</v>
      </c>
      <c r="E23" s="14" t="n">
        <f aca="false">E11+E20</f>
        <v>-368163</v>
      </c>
      <c r="F23" s="14" t="n">
        <f aca="false">F11+F20</f>
        <v>-235457</v>
      </c>
      <c r="G23" s="14" t="n">
        <f aca="false">G11+G20</f>
        <v>-254564</v>
      </c>
      <c r="H23" s="15" t="s">
        <v>461</v>
      </c>
    </row>
    <row r="24" customFormat="false" ht="15" hidden="false" customHeight="true" outlineLevel="0" collapsed="false">
      <c r="A24" s="9" t="s">
        <v>462</v>
      </c>
      <c r="B24" s="26" t="n">
        <f aca="false">-B18</f>
        <v>100000</v>
      </c>
      <c r="C24" s="26" t="n">
        <f aca="false">-C18</f>
        <v>105000</v>
      </c>
      <c r="D24" s="26" t="n">
        <f aca="false">-D18</f>
        <v>95000</v>
      </c>
      <c r="E24" s="26" t="n">
        <f aca="false">-E18</f>
        <v>100000</v>
      </c>
      <c r="F24" s="26" t="n">
        <f aca="false">-F18</f>
        <v>90000</v>
      </c>
      <c r="G24" s="26" t="n">
        <f aca="false">-G18</f>
        <v>95000</v>
      </c>
      <c r="H24" s="12" t="s">
        <v>463</v>
      </c>
    </row>
    <row r="25" customFormat="false" ht="15" hidden="false" customHeight="true" outlineLevel="0" collapsed="false">
      <c r="A25" s="9" t="s">
        <v>464</v>
      </c>
      <c r="B25" s="26" t="n">
        <v>7000</v>
      </c>
      <c r="C25" s="26" t="n">
        <v>7000</v>
      </c>
      <c r="D25" s="26" t="n">
        <v>7000</v>
      </c>
      <c r="E25" s="26" t="n">
        <v>7000</v>
      </c>
      <c r="F25" s="26" t="n">
        <v>7000</v>
      </c>
      <c r="G25" s="26" t="n">
        <v>7000</v>
      </c>
      <c r="H25" s="12" t="s">
        <v>465</v>
      </c>
    </row>
    <row r="26" customFormat="false" ht="15" hidden="false" customHeight="true" outlineLevel="0" collapsed="false">
      <c r="A26" s="13" t="s">
        <v>466</v>
      </c>
      <c r="B26" s="14" t="n">
        <f aca="false">B23+B24+B25</f>
        <v>-296726</v>
      </c>
      <c r="C26" s="14" t="n">
        <f aca="false">C23+C24+C25</f>
        <v>-358496</v>
      </c>
      <c r="D26" s="14" t="n">
        <f aca="false">D23+D24+D25</f>
        <v>-233339</v>
      </c>
      <c r="E26" s="14" t="n">
        <f aca="false">E23+E24+E25</f>
        <v>-261163</v>
      </c>
      <c r="F26" s="14" t="n">
        <f aca="false">F23+F24+F25</f>
        <v>-138457</v>
      </c>
      <c r="G26" s="14" t="n">
        <f aca="false">G23+G24+G25</f>
        <v>-152564</v>
      </c>
      <c r="H26" s="15"/>
    </row>
    <row r="27" customFormat="false" ht="15" hidden="false" customHeight="true" outlineLevel="0" collapsed="false">
      <c r="A27" s="9" t="s">
        <v>467</v>
      </c>
      <c r="B27" s="53" t="n">
        <f aca="false">IFERROR(B26/B11,0)</f>
        <v>-0.729700153206391</v>
      </c>
      <c r="C27" s="53" t="n">
        <f aca="false">IFERROR(C26/C11,0)</f>
        <v>-0.926523417914537</v>
      </c>
      <c r="D27" s="53" t="n">
        <f aca="false">IFERROR(D26/D11,0)</f>
        <v>-0.518244349237866</v>
      </c>
      <c r="E27" s="53" t="n">
        <f aca="false">IFERROR(E26/E11,0)</f>
        <v>-0.579794024078625</v>
      </c>
      <c r="F27" s="53" t="n">
        <f aca="false">IFERROR(F26/F11,0)</f>
        <v>-0.25899419186487</v>
      </c>
      <c r="G27" s="53" t="n">
        <f aca="false">IFERROR(G26/G11,0)</f>
        <v>-0.285010797844915</v>
      </c>
      <c r="H27" s="54"/>
    </row>
    <row r="29" customFormat="false" ht="18" hidden="false" customHeight="true" outlineLevel="0" collapsed="false">
      <c r="A29" s="6" t="s">
        <v>103</v>
      </c>
      <c r="B29" s="6"/>
      <c r="C29" s="6"/>
      <c r="D29" s="6"/>
      <c r="E29" s="6"/>
      <c r="F29" s="6"/>
      <c r="G29" s="6"/>
      <c r="H29" s="6"/>
    </row>
    <row r="30" customFormat="false" ht="15" hidden="false" customHeight="true" outlineLevel="0" collapsed="false">
      <c r="A30" s="9" t="s">
        <v>468</v>
      </c>
      <c r="B30" s="26" t="n">
        <f aca="false">Premissas_Runway!B52</f>
        <v>5000</v>
      </c>
      <c r="C30" s="26" t="n">
        <f aca="false">Premissas_Runway!B53</f>
        <v>5000</v>
      </c>
      <c r="D30" s="26" t="n">
        <f aca="false">Premissas_Runway!C52</f>
        <v>8000</v>
      </c>
      <c r="E30" s="26" t="n">
        <f aca="false">Premissas_Runway!C53</f>
        <v>8000</v>
      </c>
      <c r="F30" s="26" t="n">
        <f aca="false">Premissas_Runway!D52</f>
        <v>12000</v>
      </c>
      <c r="G30" s="26" t="n">
        <f aca="false">Premissas_Runway!D53</f>
        <v>12000</v>
      </c>
      <c r="H30" s="12" t="s">
        <v>455</v>
      </c>
    </row>
    <row r="31" customFormat="false" ht="15" hidden="false" customHeight="true" outlineLevel="0" collapsed="false">
      <c r="A31" s="9" t="s">
        <v>106</v>
      </c>
      <c r="B31" s="26" t="n">
        <f aca="false">-ROUND(BP!E48*Premissas_Runway!B50,0)</f>
        <v>-156437</v>
      </c>
      <c r="C31" s="26" t="n">
        <f aca="false">-ROUND(BP!E48*Premissas_Runway!B51,0)</f>
        <v>-146008</v>
      </c>
      <c r="D31" s="26" t="n">
        <f aca="false">-ROUND(BP!E48*Premissas_Runway!C50,0)</f>
        <v>-135579</v>
      </c>
      <c r="E31" s="26" t="n">
        <f aca="false">-ROUND(BP!E48*Premissas_Runway!C51,0)</f>
        <v>-125150</v>
      </c>
      <c r="F31" s="26" t="n">
        <f aca="false">-ROUND(BP!E48*Premissas_Runway!D50,0)</f>
        <v>-114721</v>
      </c>
      <c r="G31" s="26" t="n">
        <f aca="false">-ROUND(BP!E48*Premissas_Runway!D51,0)</f>
        <v>-104292</v>
      </c>
      <c r="H31" s="12" t="s">
        <v>469</v>
      </c>
    </row>
    <row r="32" customFormat="false" ht="15" hidden="false" customHeight="true" outlineLevel="0" collapsed="false">
      <c r="A32" s="13" t="s">
        <v>108</v>
      </c>
      <c r="B32" s="14" t="n">
        <f aca="false">B30+B31</f>
        <v>-151437</v>
      </c>
      <c r="C32" s="14" t="n">
        <f aca="false">C30+C31</f>
        <v>-141008</v>
      </c>
      <c r="D32" s="14" t="n">
        <f aca="false">D30+D31</f>
        <v>-127579</v>
      </c>
      <c r="E32" s="14" t="n">
        <f aca="false">E30+E31</f>
        <v>-117150</v>
      </c>
      <c r="F32" s="14" t="n">
        <f aca="false">F30+F31</f>
        <v>-102721</v>
      </c>
      <c r="G32" s="14" t="n">
        <f aca="false">G30+G31</f>
        <v>-92292</v>
      </c>
      <c r="H32" s="15"/>
    </row>
    <row r="34" customFormat="false" ht="15" hidden="false" customHeight="true" outlineLevel="0" collapsed="false">
      <c r="A34" s="30" t="s">
        <v>109</v>
      </c>
      <c r="B34" s="33" t="n">
        <f aca="false">B23+B32</f>
        <v>-555163</v>
      </c>
      <c r="C34" s="33" t="n">
        <f aca="false">C23+C32</f>
        <v>-611504</v>
      </c>
      <c r="D34" s="33" t="n">
        <f aca="false">D23+D32</f>
        <v>-462918</v>
      </c>
      <c r="E34" s="33" t="n">
        <f aca="false">E23+E32</f>
        <v>-485313</v>
      </c>
      <c r="F34" s="33" t="n">
        <f aca="false">F23+F32</f>
        <v>-338178</v>
      </c>
      <c r="G34" s="33" t="n">
        <f aca="false">G23+G32</f>
        <v>-346856</v>
      </c>
      <c r="H34" s="32" t="s">
        <v>470</v>
      </c>
    </row>
    <row r="36" customFormat="false" ht="18" hidden="false" customHeight="true" outlineLevel="0" collapsed="false">
      <c r="A36" s="6" t="s">
        <v>471</v>
      </c>
      <c r="B36" s="6"/>
      <c r="C36" s="6"/>
      <c r="D36" s="6"/>
      <c r="E36" s="6"/>
      <c r="F36" s="6"/>
      <c r="G36" s="6"/>
      <c r="H36" s="6"/>
    </row>
    <row r="37" customFormat="false" ht="15" hidden="false" customHeight="true" outlineLevel="0" collapsed="false">
      <c r="A37" s="9" t="s">
        <v>472</v>
      </c>
      <c r="B37" s="26" t="n">
        <f aca="false">B34+B24+B25</f>
        <v>-448163</v>
      </c>
      <c r="C37" s="26" t="n">
        <f aca="false">C34+C24+C25</f>
        <v>-499504</v>
      </c>
      <c r="D37" s="26" t="n">
        <f aca="false">D34+D24+D25</f>
        <v>-360918</v>
      </c>
      <c r="E37" s="26" t="n">
        <f aca="false">E34+E24+E25</f>
        <v>-378313</v>
      </c>
      <c r="F37" s="26" t="n">
        <f aca="false">F34+F24+F25</f>
        <v>-241178</v>
      </c>
      <c r="G37" s="26" t="n">
        <f aca="false">G34+G24+G25</f>
        <v>-244856</v>
      </c>
      <c r="H37" s="12" t="s">
        <v>473</v>
      </c>
    </row>
    <row r="38" customFormat="false" ht="21.75" hidden="false" customHeight="true" outlineLevel="0" collapsed="false">
      <c r="A38" s="9" t="s">
        <v>474</v>
      </c>
      <c r="B38" s="26" t="n">
        <f aca="false">-ROUND(B7*0.1,0)</f>
        <v>-7000</v>
      </c>
      <c r="C38" s="26" t="n">
        <f aca="false">-ROUND(C7*0.1,0)</f>
        <v>-6000</v>
      </c>
      <c r="D38" s="26" t="n">
        <f aca="false">-ROUND(D7*0.1,0)</f>
        <v>-13000</v>
      </c>
      <c r="E38" s="26" t="n">
        <f aca="false">-ROUND(E7*0.1,0)</f>
        <v>-11000</v>
      </c>
      <c r="F38" s="26" t="n">
        <f aca="false">-ROUND(F7*0.1,0)</f>
        <v>-21800</v>
      </c>
      <c r="G38" s="26" t="n">
        <f aca="false">-ROUND(G7*0.1,0)</f>
        <v>-18000</v>
      </c>
      <c r="H38" s="12" t="s">
        <v>475</v>
      </c>
    </row>
    <row r="39" customFormat="false" ht="21.75" hidden="false" customHeight="true" outlineLevel="0" collapsed="false">
      <c r="A39" s="9" t="s">
        <v>476</v>
      </c>
      <c r="B39" s="26" t="n">
        <f aca="false">ROUND(-(B14+B15)*0.05,0)</f>
        <v>28427</v>
      </c>
      <c r="C39" s="26" t="n">
        <f aca="false">ROUND(-(C14+C15)*0.05,0)</f>
        <v>30133</v>
      </c>
      <c r="D39" s="26" t="n">
        <f aca="false">ROUND(-(D14+D15)*0.05,0)</f>
        <v>27482</v>
      </c>
      <c r="E39" s="26" t="n">
        <f aca="false">ROUND(-(E14+E15)*0.05,0)</f>
        <v>28604</v>
      </c>
      <c r="F39" s="26" t="n">
        <f aca="false">ROUND(-(F14+F15)*0.05,0)</f>
        <v>26976</v>
      </c>
      <c r="G39" s="26" t="n">
        <f aca="false">ROUND(-(G14+G15)*0.05,0)</f>
        <v>27561</v>
      </c>
      <c r="H39" s="12" t="s">
        <v>477</v>
      </c>
    </row>
    <row r="40" customFormat="false" ht="15" hidden="false" customHeight="true" outlineLevel="0" collapsed="false">
      <c r="A40" s="13" t="s">
        <v>478</v>
      </c>
      <c r="B40" s="14" t="n">
        <f aca="false">B37+B38+B39</f>
        <v>-426736</v>
      </c>
      <c r="C40" s="14" t="n">
        <f aca="false">C37+C38+C39</f>
        <v>-475371</v>
      </c>
      <c r="D40" s="14" t="n">
        <f aca="false">D37+D38+D39</f>
        <v>-346436</v>
      </c>
      <c r="E40" s="14" t="n">
        <f aca="false">E37+E38+E39</f>
        <v>-360709</v>
      </c>
      <c r="F40" s="14" t="n">
        <f aca="false">F37+F38+F39</f>
        <v>-236002</v>
      </c>
      <c r="G40" s="14" t="n">
        <f aca="false">G37+G38+G39</f>
        <v>-235295</v>
      </c>
      <c r="H40" s="15"/>
    </row>
    <row r="42" customFormat="false" ht="18" hidden="false" customHeight="true" outlineLevel="0" collapsed="false">
      <c r="A42" s="6" t="s">
        <v>479</v>
      </c>
      <c r="B42" s="6"/>
      <c r="C42" s="6"/>
      <c r="D42" s="6"/>
      <c r="E42" s="6"/>
      <c r="F42" s="6"/>
      <c r="G42" s="6"/>
      <c r="H42" s="6"/>
    </row>
    <row r="43" customFormat="false" ht="15" hidden="false" customHeight="true" outlineLevel="0" collapsed="false">
      <c r="A43" s="9" t="s">
        <v>480</v>
      </c>
      <c r="B43" s="26" t="n">
        <f aca="false">Premissas_Runway!B34</f>
        <v>162000</v>
      </c>
      <c r="C43" s="26" t="n">
        <f aca="false">Premissas_Runway!B35</f>
        <v>80000</v>
      </c>
      <c r="D43" s="26" t="n">
        <f aca="false">Premissas_Runway!C34</f>
        <v>180000</v>
      </c>
      <c r="E43" s="26" t="n">
        <f aca="false">Premissas_Runway!C35</f>
        <v>120000</v>
      </c>
      <c r="F43" s="26" t="n">
        <f aca="false">Premissas_Runway!D34</f>
        <v>250000</v>
      </c>
      <c r="G43" s="26" t="n">
        <f aca="false">Premissas_Runway!D35</f>
        <v>200000</v>
      </c>
      <c r="H43" s="12" t="s">
        <v>481</v>
      </c>
    </row>
    <row r="44" customFormat="false" ht="15" hidden="false" customHeight="true" outlineLevel="0" collapsed="false">
      <c r="A44" s="9" t="s">
        <v>482</v>
      </c>
      <c r="B44" s="26" t="n">
        <f aca="false">-ROUND(B43*Premissas_Runway!B36,0)</f>
        <v>-81000</v>
      </c>
      <c r="C44" s="26" t="n">
        <f aca="false">-ROUND(C43*Premissas_Runway!B36,0)</f>
        <v>-40000</v>
      </c>
      <c r="D44" s="26" t="n">
        <f aca="false">-ROUND(D43*Premissas_Runway!C36,0)</f>
        <v>-99000</v>
      </c>
      <c r="E44" s="26" t="n">
        <f aca="false">-ROUND(E43*Premissas_Runway!C36,0)</f>
        <v>-66000</v>
      </c>
      <c r="F44" s="26" t="n">
        <f aca="false">-ROUND(F43*Premissas_Runway!D36,0)</f>
        <v>-150000</v>
      </c>
      <c r="G44" s="26" t="n">
        <f aca="false">-ROUND(G43*Premissas_Runway!D36,0)</f>
        <v>-120000</v>
      </c>
      <c r="H44" s="11"/>
    </row>
    <row r="45" customFormat="false" ht="15" hidden="false" customHeight="true" outlineLevel="0" collapsed="false">
      <c r="A45" s="9" t="s">
        <v>483</v>
      </c>
      <c r="B45" s="26" t="n">
        <f aca="false">-Premissas_Runway!B37</f>
        <v>-150000</v>
      </c>
      <c r="C45" s="26" t="n">
        <f aca="false">-Premissas_Runway!B38</f>
        <v>-130000</v>
      </c>
      <c r="D45" s="26" t="n">
        <f aca="false">-Premissas_Runway!C37</f>
        <v>-130000</v>
      </c>
      <c r="E45" s="26" t="n">
        <f aca="false">-Premissas_Runway!C38</f>
        <v>-110000</v>
      </c>
      <c r="F45" s="26" t="n">
        <f aca="false">-Premissas_Runway!D37</f>
        <v>-110000</v>
      </c>
      <c r="G45" s="26" t="n">
        <f aca="false">-Premissas_Runway!D38</f>
        <v>-90000</v>
      </c>
      <c r="H45" s="12" t="s">
        <v>481</v>
      </c>
    </row>
    <row r="46" customFormat="false" ht="21.75" hidden="false" customHeight="true" outlineLevel="0" collapsed="false">
      <c r="A46" s="9" t="s">
        <v>484</v>
      </c>
      <c r="B46" s="26" t="n">
        <f aca="false">ROUND(B7*0.8,0)</f>
        <v>56000</v>
      </c>
      <c r="C46" s="26" t="n">
        <f aca="false">ROUND(C7*0.8,0)</f>
        <v>48000</v>
      </c>
      <c r="D46" s="26" t="n">
        <f aca="false">ROUND(D7*0.8,0)</f>
        <v>104000</v>
      </c>
      <c r="E46" s="26" t="n">
        <f aca="false">ROUND(E7*0.8,0)</f>
        <v>88000</v>
      </c>
      <c r="F46" s="26" t="n">
        <f aca="false">ROUND(F7*0.8,0)</f>
        <v>174400</v>
      </c>
      <c r="G46" s="26" t="n">
        <f aca="false">ROUND(G7*0.8,0)</f>
        <v>144000</v>
      </c>
      <c r="H46" s="12" t="s">
        <v>485</v>
      </c>
    </row>
    <row r="47" customFormat="false" ht="15" hidden="false" customHeight="true" outlineLevel="0" collapsed="false">
      <c r="A47" s="13" t="s">
        <v>486</v>
      </c>
      <c r="B47" s="14" t="n">
        <f aca="false">B44+B45+B46</f>
        <v>-175000</v>
      </c>
      <c r="C47" s="14" t="n">
        <f aca="false">C44+C45+C46</f>
        <v>-122000</v>
      </c>
      <c r="D47" s="14" t="n">
        <f aca="false">D44+D45+D46</f>
        <v>-125000</v>
      </c>
      <c r="E47" s="14" t="n">
        <f aca="false">E44+E45+E46</f>
        <v>-88000</v>
      </c>
      <c r="F47" s="14" t="n">
        <f aca="false">F44+F45+F46</f>
        <v>-85600</v>
      </c>
      <c r="G47" s="14" t="n">
        <f aca="false">G44+G45+G46</f>
        <v>-66000</v>
      </c>
      <c r="H47" s="15"/>
    </row>
    <row r="49" customFormat="false" ht="18" hidden="false" customHeight="true" outlineLevel="0" collapsed="false">
      <c r="A49" s="6" t="s">
        <v>487</v>
      </c>
      <c r="B49" s="6"/>
      <c r="C49" s="6"/>
      <c r="D49" s="6"/>
      <c r="E49" s="6"/>
      <c r="F49" s="6"/>
      <c r="G49" s="6"/>
      <c r="H49" s="6"/>
    </row>
    <row r="50" customFormat="false" ht="15" hidden="false" customHeight="true" outlineLevel="0" collapsed="false">
      <c r="A50" s="9" t="s">
        <v>488</v>
      </c>
      <c r="B50" s="26" t="n">
        <f aca="false">Premissas_Runway!B54</f>
        <v>30000</v>
      </c>
      <c r="C50" s="26" t="n">
        <f aca="false">Premissas_Runway!B55</f>
        <v>25000</v>
      </c>
      <c r="D50" s="26" t="n">
        <f aca="false">Premissas_Runway!C54</f>
        <v>40000</v>
      </c>
      <c r="E50" s="26" t="n">
        <f aca="false">Premissas_Runway!C55</f>
        <v>35000</v>
      </c>
      <c r="F50" s="26" t="n">
        <f aca="false">Premissas_Runway!D54</f>
        <v>50000</v>
      </c>
      <c r="G50" s="26" t="n">
        <f aca="false">Premissas_Runway!D55</f>
        <v>45000</v>
      </c>
      <c r="H50" s="12" t="s">
        <v>481</v>
      </c>
    </row>
    <row r="51" customFormat="false" ht="15" hidden="false" customHeight="true" outlineLevel="0" collapsed="false">
      <c r="A51" s="9" t="s">
        <v>489</v>
      </c>
      <c r="B51" s="26" t="n">
        <v>0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12" t="s">
        <v>490</v>
      </c>
    </row>
    <row r="52" customFormat="false" ht="15" hidden="false" customHeight="true" outlineLevel="0" collapsed="false">
      <c r="A52" s="13" t="s">
        <v>491</v>
      </c>
      <c r="B52" s="14" t="n">
        <f aca="false">B50+B51</f>
        <v>30000</v>
      </c>
      <c r="C52" s="14" t="n">
        <f aca="false">C50+C51</f>
        <v>25000</v>
      </c>
      <c r="D52" s="14" t="n">
        <f aca="false">D50+D51</f>
        <v>40000</v>
      </c>
      <c r="E52" s="14" t="n">
        <f aca="false">E50+E51</f>
        <v>35000</v>
      </c>
      <c r="F52" s="14" t="n">
        <f aca="false">F50+F51</f>
        <v>50000</v>
      </c>
      <c r="G52" s="14" t="n">
        <f aca="false">G50+G51</f>
        <v>45000</v>
      </c>
      <c r="H52" s="15"/>
    </row>
    <row r="54" customFormat="false" ht="18" hidden="false" customHeight="true" outlineLevel="0" collapsed="false">
      <c r="A54" s="6" t="s">
        <v>492</v>
      </c>
      <c r="B54" s="6"/>
      <c r="C54" s="6"/>
      <c r="D54" s="6"/>
      <c r="E54" s="6"/>
      <c r="F54" s="6"/>
      <c r="G54" s="6"/>
      <c r="H54" s="6"/>
    </row>
    <row r="55" customFormat="false" ht="15" hidden="false" customHeight="true" outlineLevel="0" collapsed="false">
      <c r="A55" s="9" t="s">
        <v>493</v>
      </c>
      <c r="B55" s="26" t="n">
        <f aca="false">BP!E7</f>
        <v>34526</v>
      </c>
      <c r="C55" s="26" t="n">
        <f aca="false">B58</f>
        <v>-616506</v>
      </c>
      <c r="D55" s="26" t="n">
        <f aca="false">BP!E7</f>
        <v>34526</v>
      </c>
      <c r="E55" s="26" t="n">
        <f aca="false">D58</f>
        <v>-464878</v>
      </c>
      <c r="F55" s="26" t="n">
        <f aca="false">BP!E7</f>
        <v>34526</v>
      </c>
      <c r="G55" s="26" t="n">
        <f aca="false">F58</f>
        <v>-284654</v>
      </c>
      <c r="H55" s="12" t="s">
        <v>494</v>
      </c>
    </row>
    <row r="56" customFormat="false" ht="15" hidden="false" customHeight="true" outlineLevel="0" collapsed="false">
      <c r="A56" s="9" t="s">
        <v>495</v>
      </c>
      <c r="B56" s="26" t="n">
        <f aca="false">-Premissas_Runway!B60</f>
        <v>-79296</v>
      </c>
      <c r="C56" s="26" t="n">
        <v>0</v>
      </c>
      <c r="D56" s="26" t="n">
        <f aca="false">-Premissas_Runway!C60</f>
        <v>-67968</v>
      </c>
      <c r="E56" s="26" t="n">
        <v>0</v>
      </c>
      <c r="F56" s="26" t="n">
        <f aca="false">-Premissas_Runway!D60</f>
        <v>-47578</v>
      </c>
      <c r="G56" s="26" t="n">
        <v>0</v>
      </c>
      <c r="H56" s="12" t="s">
        <v>496</v>
      </c>
    </row>
    <row r="57" customFormat="false" ht="15" hidden="false" customHeight="true" outlineLevel="0" collapsed="false">
      <c r="A57" s="13" t="s">
        <v>497</v>
      </c>
      <c r="B57" s="14" t="n">
        <f aca="false">B40+B47+B52</f>
        <v>-571736</v>
      </c>
      <c r="C57" s="14" t="n">
        <f aca="false">C40+C47+C52</f>
        <v>-572371</v>
      </c>
      <c r="D57" s="14" t="n">
        <f aca="false">D40+D47+D52</f>
        <v>-431436</v>
      </c>
      <c r="E57" s="14" t="n">
        <f aca="false">E40+E47+E52</f>
        <v>-413709</v>
      </c>
      <c r="F57" s="14" t="n">
        <f aca="false">F40+F47+F52</f>
        <v>-271602</v>
      </c>
      <c r="G57" s="14" t="n">
        <f aca="false">G40+G47+G52</f>
        <v>-256295</v>
      </c>
      <c r="H57" s="15" t="s">
        <v>498</v>
      </c>
    </row>
    <row r="58" customFormat="false" ht="15" hidden="false" customHeight="true" outlineLevel="0" collapsed="false">
      <c r="A58" s="30" t="s">
        <v>499</v>
      </c>
      <c r="B58" s="33" t="n">
        <f aca="false">B55+B56+B57</f>
        <v>-616506</v>
      </c>
      <c r="C58" s="33" t="n">
        <f aca="false">C55+C56+C57</f>
        <v>-1188877</v>
      </c>
      <c r="D58" s="33" t="n">
        <f aca="false">D55+D56+D57</f>
        <v>-464878</v>
      </c>
      <c r="E58" s="33" t="n">
        <f aca="false">E55+E56+E57</f>
        <v>-878587</v>
      </c>
      <c r="F58" s="33" t="n">
        <f aca="false">F55+F56+F57</f>
        <v>-284654</v>
      </c>
      <c r="G58" s="33" t="n">
        <f aca="false">G55+G56+G57</f>
        <v>-540949</v>
      </c>
      <c r="H58" s="32"/>
    </row>
    <row r="60" customFormat="false" ht="18" hidden="false" customHeight="true" outlineLevel="0" collapsed="false">
      <c r="A60" s="6" t="s">
        <v>500</v>
      </c>
      <c r="B60" s="6"/>
      <c r="C60" s="6"/>
      <c r="D60" s="6"/>
      <c r="E60" s="6"/>
      <c r="F60" s="6"/>
      <c r="G60" s="6"/>
      <c r="H60" s="6"/>
    </row>
    <row r="61" customFormat="false" ht="15" hidden="false" customHeight="true" outlineLevel="0" collapsed="false">
      <c r="A61" s="9" t="s">
        <v>501</v>
      </c>
      <c r="B61" s="55" t="n">
        <f aca="false">IFERROR(B58/(-B14/12),0)</f>
        <v>-15.5806286526615</v>
      </c>
      <c r="C61" s="55" t="n">
        <f aca="false">IFERROR(C58/(-C14/12),0)</f>
        <v>-28.345119855359</v>
      </c>
      <c r="D61" s="55" t="n">
        <f aca="false">IFERROR(D58/(-D14/12),0)</f>
        <v>-12.2004815862164</v>
      </c>
      <c r="E61" s="55" t="n">
        <f aca="false">IFERROR(E58/(-E14/12),0)</f>
        <v>-22.1711904005855</v>
      </c>
      <c r="F61" s="55" t="n">
        <f aca="false">IFERROR(F58/(-F14/12),0)</f>
        <v>-7.61707764145516</v>
      </c>
      <c r="G61" s="55" t="n">
        <f aca="false">IFERROR(G58/(-G14/12),0)</f>
        <v>-14.1914628947455</v>
      </c>
      <c r="H61" s="56" t="s">
        <v>502</v>
      </c>
    </row>
    <row r="62" customFormat="false" ht="15" hidden="false" customHeight="true" outlineLevel="0" collapsed="false">
      <c r="A62" s="9" t="s">
        <v>503</v>
      </c>
      <c r="B62" s="26" t="n">
        <f aca="false">BP!E48+Premissas_Runway!B54</f>
        <v>1072916</v>
      </c>
      <c r="C62" s="26" t="n">
        <f aca="false">B62+Premissas_Runway!B55</f>
        <v>1097916</v>
      </c>
      <c r="D62" s="26" t="n">
        <f aca="false">BP!E48+Premissas_Runway!C54</f>
        <v>1082916</v>
      </c>
      <c r="E62" s="26" t="n">
        <f aca="false">D62+Premissas_Runway!C55</f>
        <v>1117916</v>
      </c>
      <c r="F62" s="26" t="n">
        <f aca="false">BP!E48+Premissas_Runway!D54</f>
        <v>1092916</v>
      </c>
      <c r="G62" s="26" t="n">
        <f aca="false">F62+Premissas_Runway!D55</f>
        <v>1137916</v>
      </c>
      <c r="H62" s="12" t="s">
        <v>504</v>
      </c>
    </row>
    <row r="63" customFormat="false" ht="21.75" hidden="false" customHeight="true" outlineLevel="0" collapsed="false">
      <c r="A63" s="9" t="s">
        <v>505</v>
      </c>
      <c r="B63" s="26" t="n">
        <f aca="false">BP!E27+BP!E40+Premissas_Runway!B34-Premissas_Runway!B37</f>
        <v>256192</v>
      </c>
      <c r="C63" s="26" t="n">
        <f aca="false">B63+Premissas_Runway!B35-Premissas_Runway!B38</f>
        <v>206192</v>
      </c>
      <c r="D63" s="26" t="n">
        <f aca="false">BP!E27+BP!E40+Premissas_Runway!C34-Premissas_Runway!C37</f>
        <v>294192</v>
      </c>
      <c r="E63" s="26" t="n">
        <f aca="false">D63+Premissas_Runway!C35-Premissas_Runway!C38</f>
        <v>304192</v>
      </c>
      <c r="F63" s="26" t="n">
        <f aca="false">BP!E27+BP!E40+Premissas_Runway!D34-Premissas_Runway!D37</f>
        <v>384192</v>
      </c>
      <c r="G63" s="26" t="n">
        <f aca="false">F63+Premissas_Runway!D35-Premissas_Runway!D38</f>
        <v>494192</v>
      </c>
      <c r="H63" s="12" t="s">
        <v>506</v>
      </c>
    </row>
  </sheetData>
  <mergeCells count="14">
    <mergeCell ref="A1:H1"/>
    <mergeCell ref="A2:H2"/>
    <mergeCell ref="B3:C3"/>
    <mergeCell ref="D3:E3"/>
    <mergeCell ref="F3:G3"/>
    <mergeCell ref="A5:H5"/>
    <mergeCell ref="A13:H13"/>
    <mergeCell ref="A22:H22"/>
    <mergeCell ref="A29:H29"/>
    <mergeCell ref="A36:H36"/>
    <mergeCell ref="A42:H42"/>
    <mergeCell ref="A49:H49"/>
    <mergeCell ref="A54:H54"/>
    <mergeCell ref="A60:H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7" min="2" style="1" width="14"/>
    <col collapsed="false" customWidth="true" hidden="false" outlineLevel="0" max="8" min="8" style="1" width="50"/>
  </cols>
  <sheetData>
    <row r="1" customFormat="false" ht="21.75" hidden="false" customHeight="true" outlineLevel="0" collapsed="false">
      <c r="A1" s="2" t="s">
        <v>507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508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B3" s="49" t="s">
        <v>429</v>
      </c>
      <c r="C3" s="49"/>
      <c r="D3" s="50" t="s">
        <v>430</v>
      </c>
      <c r="E3" s="50"/>
      <c r="F3" s="51" t="s">
        <v>431</v>
      </c>
      <c r="G3" s="51"/>
    </row>
    <row r="4" customFormat="false" ht="15" hidden="false" customHeight="true" outlineLevel="0" collapsed="false">
      <c r="B4" s="52" t="s">
        <v>432</v>
      </c>
      <c r="C4" s="52" t="s">
        <v>433</v>
      </c>
      <c r="D4" s="52" t="s">
        <v>432</v>
      </c>
      <c r="E4" s="52" t="s">
        <v>433</v>
      </c>
      <c r="F4" s="52" t="s">
        <v>432</v>
      </c>
      <c r="G4" s="52" t="s">
        <v>433</v>
      </c>
      <c r="H4" s="52" t="s">
        <v>300</v>
      </c>
    </row>
    <row r="5" customFormat="false" ht="18" hidden="false" customHeight="true" outlineLevel="0" collapsed="false">
      <c r="A5" s="6" t="s">
        <v>509</v>
      </c>
      <c r="B5" s="6"/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57" t="s">
        <v>510</v>
      </c>
      <c r="B6" s="26" t="n">
        <f aca="false">Modelo_Runway!B9</f>
        <v>549515</v>
      </c>
      <c r="C6" s="26" t="n">
        <f aca="false">Modelo_Runway!C9</f>
        <v>522873</v>
      </c>
      <c r="D6" s="26" t="n">
        <f aca="false">Modelo_Runway!D9</f>
        <v>608445</v>
      </c>
      <c r="E6" s="26" t="n">
        <f aca="false">Modelo_Runway!E9</f>
        <v>608704</v>
      </c>
      <c r="F6" s="26" t="n">
        <f aca="false">Modelo_Runway!F9</f>
        <v>722426</v>
      </c>
      <c r="G6" s="26" t="n">
        <f aca="false">Modelo_Runway!G9</f>
        <v>723367</v>
      </c>
    </row>
    <row r="7" customFormat="false" ht="15" hidden="false" customHeight="true" outlineLevel="0" collapsed="false">
      <c r="A7" s="57" t="s">
        <v>444</v>
      </c>
      <c r="B7" s="26" t="n">
        <f aca="false">Modelo_Runway!B11</f>
        <v>406641</v>
      </c>
      <c r="C7" s="26" t="n">
        <f aca="false">Modelo_Runway!C11</f>
        <v>386926</v>
      </c>
      <c r="D7" s="26" t="n">
        <f aca="false">Modelo_Runway!D11</f>
        <v>450249</v>
      </c>
      <c r="E7" s="26" t="n">
        <f aca="false">Modelo_Runway!E11</f>
        <v>450441</v>
      </c>
      <c r="F7" s="26" t="n">
        <f aca="false">Modelo_Runway!F11</f>
        <v>534595</v>
      </c>
      <c r="G7" s="26" t="n">
        <f aca="false">Modelo_Runway!G11</f>
        <v>535292</v>
      </c>
    </row>
    <row r="8" customFormat="false" ht="15" hidden="false" customHeight="true" outlineLevel="0" collapsed="false">
      <c r="A8" s="9" t="s">
        <v>511</v>
      </c>
      <c r="B8" s="26" t="n">
        <f aca="false">Modelo_Runway!B7</f>
        <v>70000</v>
      </c>
      <c r="C8" s="26" t="n">
        <f aca="false">Modelo_Runway!C7</f>
        <v>60000</v>
      </c>
      <c r="D8" s="26" t="n">
        <f aca="false">Modelo_Runway!D7</f>
        <v>130000</v>
      </c>
      <c r="E8" s="26" t="n">
        <f aca="false">Modelo_Runway!E7</f>
        <v>110000</v>
      </c>
      <c r="F8" s="26" t="n">
        <f aca="false">Modelo_Runway!F7</f>
        <v>218000</v>
      </c>
      <c r="G8" s="26" t="n">
        <f aca="false">Modelo_Runway!G7</f>
        <v>180000</v>
      </c>
    </row>
    <row r="9" customFormat="false" ht="15" hidden="false" customHeight="true" outlineLevel="0" collapsed="false">
      <c r="A9" s="9" t="s">
        <v>512</v>
      </c>
      <c r="B9" s="26" t="n">
        <f aca="false">Modelo_Runway!B8</f>
        <v>41600</v>
      </c>
      <c r="C9" s="26" t="n">
        <f aca="false">Modelo_Runway!C8</f>
        <v>16200</v>
      </c>
      <c r="D9" s="26" t="n">
        <f aca="false">Modelo_Runway!D8</f>
        <v>27775</v>
      </c>
      <c r="E9" s="26" t="n">
        <f aca="false">Modelo_Runway!E8</f>
        <v>25500</v>
      </c>
      <c r="F9" s="26" t="n">
        <f aca="false">Modelo_Runway!F8</f>
        <v>36750</v>
      </c>
      <c r="G9" s="26" t="n">
        <f aca="false">Modelo_Runway!G8</f>
        <v>33600</v>
      </c>
    </row>
    <row r="11" customFormat="false" ht="18" hidden="false" customHeight="true" outlineLevel="0" collapsed="false">
      <c r="A11" s="6" t="s">
        <v>513</v>
      </c>
      <c r="B11" s="6"/>
      <c r="C11" s="6"/>
      <c r="D11" s="6"/>
      <c r="E11" s="6"/>
      <c r="F11" s="6"/>
      <c r="G11" s="6"/>
      <c r="H11" s="6"/>
    </row>
    <row r="12" customFormat="false" ht="15" hidden="false" customHeight="true" outlineLevel="0" collapsed="false">
      <c r="A12" s="57" t="s">
        <v>466</v>
      </c>
      <c r="B12" s="26" t="n">
        <f aca="false">Modelo_Runway!B26</f>
        <v>-296726</v>
      </c>
      <c r="C12" s="26" t="n">
        <f aca="false">Modelo_Runway!C26</f>
        <v>-358496</v>
      </c>
      <c r="D12" s="26" t="n">
        <f aca="false">Modelo_Runway!D26</f>
        <v>-233339</v>
      </c>
      <c r="E12" s="26" t="n">
        <f aca="false">Modelo_Runway!E26</f>
        <v>-261163</v>
      </c>
      <c r="F12" s="26" t="n">
        <f aca="false">Modelo_Runway!F26</f>
        <v>-138457</v>
      </c>
      <c r="G12" s="26" t="n">
        <f aca="false">Modelo_Runway!G26</f>
        <v>-152564</v>
      </c>
    </row>
    <row r="13" customFormat="false" ht="15" hidden="false" customHeight="true" outlineLevel="0" collapsed="false">
      <c r="A13" s="57" t="s">
        <v>514</v>
      </c>
      <c r="B13" s="39" t="n">
        <f aca="false">Modelo_Runway!B27</f>
        <v>-0.729700153206391</v>
      </c>
      <c r="C13" s="39" t="n">
        <f aca="false">Modelo_Runway!C27</f>
        <v>-0.926523417914537</v>
      </c>
      <c r="D13" s="39" t="n">
        <f aca="false">Modelo_Runway!D27</f>
        <v>-0.518244349237866</v>
      </c>
      <c r="E13" s="39" t="n">
        <f aca="false">Modelo_Runway!E27</f>
        <v>-0.579794024078625</v>
      </c>
      <c r="F13" s="39" t="n">
        <f aca="false">Modelo_Runway!F27</f>
        <v>-0.25899419186487</v>
      </c>
      <c r="G13" s="39" t="n">
        <f aca="false">Modelo_Runway!G27</f>
        <v>-0.285010797844915</v>
      </c>
    </row>
    <row r="14" customFormat="false" ht="15" hidden="false" customHeight="true" outlineLevel="0" collapsed="false">
      <c r="A14" s="57" t="s">
        <v>515</v>
      </c>
      <c r="B14" s="26" t="n">
        <f aca="false">Modelo_Runway!B23</f>
        <v>-403726</v>
      </c>
      <c r="C14" s="26" t="n">
        <f aca="false">Modelo_Runway!C23</f>
        <v>-470496</v>
      </c>
      <c r="D14" s="26" t="n">
        <f aca="false">Modelo_Runway!D23</f>
        <v>-335339</v>
      </c>
      <c r="E14" s="26" t="n">
        <f aca="false">Modelo_Runway!E23</f>
        <v>-368163</v>
      </c>
      <c r="F14" s="26" t="n">
        <f aca="false">Modelo_Runway!F23</f>
        <v>-235457</v>
      </c>
      <c r="G14" s="26" t="n">
        <f aca="false">Modelo_Runway!G23</f>
        <v>-254564</v>
      </c>
    </row>
    <row r="15" customFormat="false" ht="15" hidden="false" customHeight="true" outlineLevel="0" collapsed="false">
      <c r="A15" s="35" t="s">
        <v>516</v>
      </c>
      <c r="B15" s="43" t="n">
        <f aca="false">Modelo_Runway!B34</f>
        <v>-555163</v>
      </c>
      <c r="C15" s="43" t="n">
        <f aca="false">Modelo_Runway!C34</f>
        <v>-611504</v>
      </c>
      <c r="D15" s="43" t="n">
        <f aca="false">Modelo_Runway!D34</f>
        <v>-462918</v>
      </c>
      <c r="E15" s="43" t="n">
        <f aca="false">Modelo_Runway!E34</f>
        <v>-485313</v>
      </c>
      <c r="F15" s="43" t="n">
        <f aca="false">Modelo_Runway!F34</f>
        <v>-338178</v>
      </c>
      <c r="G15" s="43" t="n">
        <f aca="false">Modelo_Runway!G34</f>
        <v>-346856</v>
      </c>
      <c r="H15" s="58"/>
    </row>
    <row r="17" customFormat="false" ht="18" hidden="false" customHeight="true" outlineLevel="0" collapsed="false">
      <c r="A17" s="6" t="s">
        <v>517</v>
      </c>
      <c r="B17" s="6"/>
      <c r="C17" s="6"/>
      <c r="D17" s="6"/>
      <c r="E17" s="6"/>
      <c r="F17" s="6"/>
      <c r="G17" s="6"/>
      <c r="H17" s="6"/>
    </row>
    <row r="18" customFormat="false" ht="15" hidden="false" customHeight="true" outlineLevel="0" collapsed="false">
      <c r="A18" s="57" t="s">
        <v>518</v>
      </c>
      <c r="B18" s="26" t="n">
        <f aca="false">Modelo_Runway!B40</f>
        <v>-426736</v>
      </c>
      <c r="C18" s="26" t="n">
        <f aca="false">Modelo_Runway!C40</f>
        <v>-475371</v>
      </c>
      <c r="D18" s="26" t="n">
        <f aca="false">Modelo_Runway!D40</f>
        <v>-346436</v>
      </c>
      <c r="E18" s="26" t="n">
        <f aca="false">Modelo_Runway!E40</f>
        <v>-360709</v>
      </c>
      <c r="F18" s="26" t="n">
        <f aca="false">Modelo_Runway!F40</f>
        <v>-236002</v>
      </c>
      <c r="G18" s="26" t="n">
        <f aca="false">Modelo_Runway!G40</f>
        <v>-235295</v>
      </c>
    </row>
    <row r="19" customFormat="false" ht="15" hidden="false" customHeight="true" outlineLevel="0" collapsed="false">
      <c r="A19" s="57" t="s">
        <v>519</v>
      </c>
      <c r="B19" s="26" t="n">
        <f aca="false">Modelo_Runway!B47</f>
        <v>-175000</v>
      </c>
      <c r="C19" s="26" t="n">
        <f aca="false">Modelo_Runway!C47</f>
        <v>-122000</v>
      </c>
      <c r="D19" s="26" t="n">
        <f aca="false">Modelo_Runway!D47</f>
        <v>-125000</v>
      </c>
      <c r="E19" s="26" t="n">
        <f aca="false">Modelo_Runway!E47</f>
        <v>-88000</v>
      </c>
      <c r="F19" s="26" t="n">
        <f aca="false">Modelo_Runway!F47</f>
        <v>-85600</v>
      </c>
      <c r="G19" s="26" t="n">
        <f aca="false">Modelo_Runway!G47</f>
        <v>-66000</v>
      </c>
    </row>
    <row r="20" customFormat="false" ht="15" hidden="false" customHeight="true" outlineLevel="0" collapsed="false">
      <c r="A20" s="57" t="s">
        <v>520</v>
      </c>
      <c r="B20" s="26" t="n">
        <f aca="false">Modelo_Runway!B52</f>
        <v>30000</v>
      </c>
      <c r="C20" s="26" t="n">
        <f aca="false">Modelo_Runway!C52</f>
        <v>25000</v>
      </c>
      <c r="D20" s="26" t="n">
        <f aca="false">Modelo_Runway!D52</f>
        <v>40000</v>
      </c>
      <c r="E20" s="26" t="n">
        <f aca="false">Modelo_Runway!E52</f>
        <v>35000</v>
      </c>
      <c r="F20" s="26" t="n">
        <f aca="false">Modelo_Runway!F52</f>
        <v>50000</v>
      </c>
      <c r="G20" s="26" t="n">
        <f aca="false">Modelo_Runway!G52</f>
        <v>45000</v>
      </c>
    </row>
    <row r="21" customFormat="false" ht="15" hidden="false" customHeight="true" outlineLevel="0" collapsed="false">
      <c r="A21" s="57" t="s">
        <v>521</v>
      </c>
      <c r="B21" s="26" t="n">
        <f aca="false">Modelo_Runway!B56</f>
        <v>-79296</v>
      </c>
      <c r="C21" s="26" t="n">
        <f aca="false">Modelo_Runway!C56</f>
        <v>0</v>
      </c>
      <c r="D21" s="26" t="n">
        <f aca="false">Modelo_Runway!D56</f>
        <v>-67968</v>
      </c>
      <c r="E21" s="26" t="n">
        <f aca="false">Modelo_Runway!E56</f>
        <v>0</v>
      </c>
      <c r="F21" s="26" t="n">
        <f aca="false">Modelo_Runway!F56</f>
        <v>-47578</v>
      </c>
      <c r="G21" s="26" t="n">
        <f aca="false">Modelo_Runway!G56</f>
        <v>0</v>
      </c>
    </row>
    <row r="22" customFormat="false" ht="15" hidden="false" customHeight="true" outlineLevel="0" collapsed="false">
      <c r="A22" s="57" t="s">
        <v>522</v>
      </c>
      <c r="B22" s="26" t="n">
        <f aca="false">Modelo_Runway!B57</f>
        <v>-571736</v>
      </c>
      <c r="C22" s="26" t="n">
        <f aca="false">Modelo_Runway!C57</f>
        <v>-572371</v>
      </c>
      <c r="D22" s="26" t="n">
        <f aca="false">Modelo_Runway!D57</f>
        <v>-431436</v>
      </c>
      <c r="E22" s="26" t="n">
        <f aca="false">Modelo_Runway!E57</f>
        <v>-413709</v>
      </c>
      <c r="F22" s="26" t="n">
        <f aca="false">Modelo_Runway!F57</f>
        <v>-271602</v>
      </c>
      <c r="G22" s="26" t="n">
        <f aca="false">Modelo_Runway!G57</f>
        <v>-256295</v>
      </c>
    </row>
    <row r="23" customFormat="false" ht="15" hidden="false" customHeight="true" outlineLevel="0" collapsed="false">
      <c r="A23" s="35" t="s">
        <v>523</v>
      </c>
      <c r="B23" s="43" t="n">
        <f aca="false">Modelo_Runway!B58</f>
        <v>-616506</v>
      </c>
      <c r="C23" s="43" t="n">
        <f aca="false">Modelo_Runway!C58</f>
        <v>-1188877</v>
      </c>
      <c r="D23" s="43" t="n">
        <f aca="false">Modelo_Runway!D58</f>
        <v>-464878</v>
      </c>
      <c r="E23" s="43" t="n">
        <f aca="false">Modelo_Runway!E58</f>
        <v>-878587</v>
      </c>
      <c r="F23" s="43" t="n">
        <f aca="false">Modelo_Runway!F58</f>
        <v>-284654</v>
      </c>
      <c r="G23" s="43" t="n">
        <f aca="false">Modelo_Runway!G58</f>
        <v>-540949</v>
      </c>
      <c r="H23" s="58"/>
    </row>
    <row r="25" customFormat="false" ht="18" hidden="false" customHeight="true" outlineLevel="0" collapsed="false">
      <c r="A25" s="6" t="s">
        <v>524</v>
      </c>
      <c r="B25" s="6"/>
      <c r="C25" s="6"/>
      <c r="D25" s="6"/>
      <c r="E25" s="6"/>
      <c r="F25" s="6"/>
      <c r="G25" s="6"/>
      <c r="H25" s="6"/>
    </row>
    <row r="26" customFormat="false" ht="15" hidden="false" customHeight="true" outlineLevel="0" collapsed="false">
      <c r="A26" s="57" t="s">
        <v>525</v>
      </c>
      <c r="B26" s="59" t="n">
        <f aca="false">Modelo_Runway!B61</f>
        <v>-15.5806286526615</v>
      </c>
      <c r="C26" s="59" t="n">
        <f aca="false">Modelo_Runway!C61</f>
        <v>-28.345119855359</v>
      </c>
      <c r="D26" s="59" t="n">
        <f aca="false">Modelo_Runway!D61</f>
        <v>-12.2004815862164</v>
      </c>
      <c r="E26" s="59" t="n">
        <f aca="false">Modelo_Runway!E61</f>
        <v>-22.1711904005855</v>
      </c>
      <c r="F26" s="59" t="n">
        <f aca="false">Modelo_Runway!F61</f>
        <v>-7.61707764145516</v>
      </c>
      <c r="G26" s="59" t="n">
        <f aca="false">Modelo_Runway!G61</f>
        <v>-14.1914628947455</v>
      </c>
    </row>
    <row r="27" customFormat="false" ht="15" hidden="false" customHeight="true" outlineLevel="0" collapsed="false">
      <c r="A27" s="57" t="s">
        <v>526</v>
      </c>
      <c r="B27" s="26" t="n">
        <f aca="false">Modelo_Runway!B62</f>
        <v>1072916</v>
      </c>
      <c r="C27" s="26" t="n">
        <f aca="false">Modelo_Runway!C62</f>
        <v>1097916</v>
      </c>
      <c r="D27" s="26" t="n">
        <f aca="false">Modelo_Runway!D62</f>
        <v>1082916</v>
      </c>
      <c r="E27" s="26" t="n">
        <f aca="false">Modelo_Runway!E62</f>
        <v>1117916</v>
      </c>
      <c r="F27" s="26" t="n">
        <f aca="false">Modelo_Runway!F62</f>
        <v>1092916</v>
      </c>
      <c r="G27" s="26" t="n">
        <f aca="false">Modelo_Runway!G62</f>
        <v>1137916</v>
      </c>
    </row>
    <row r="28" customFormat="false" ht="15" hidden="false" customHeight="true" outlineLevel="0" collapsed="false">
      <c r="A28" s="57" t="s">
        <v>527</v>
      </c>
      <c r="B28" s="26" t="n">
        <f aca="false">Modelo_Runway!B63</f>
        <v>256192</v>
      </c>
      <c r="C28" s="26" t="n">
        <f aca="false">Modelo_Runway!C63</f>
        <v>206192</v>
      </c>
      <c r="D28" s="26" t="n">
        <f aca="false">Modelo_Runway!D63</f>
        <v>294192</v>
      </c>
      <c r="E28" s="26" t="n">
        <f aca="false">Modelo_Runway!E63</f>
        <v>304192</v>
      </c>
      <c r="F28" s="26" t="n">
        <f aca="false">Modelo_Runway!F63</f>
        <v>384192</v>
      </c>
      <c r="G28" s="26" t="n">
        <f aca="false">Modelo_Runway!G63</f>
        <v>494192</v>
      </c>
    </row>
  </sheetData>
  <mergeCells count="9">
    <mergeCell ref="A1:H1"/>
    <mergeCell ref="A2:H2"/>
    <mergeCell ref="B3:C3"/>
    <mergeCell ref="D3:E3"/>
    <mergeCell ref="F3:G3"/>
    <mergeCell ref="A5:H5"/>
    <mergeCell ref="A11:H11"/>
    <mergeCell ref="A17:H17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5"/>
    <col collapsed="false" customWidth="true" hidden="false" outlineLevel="0" max="4" min="2" style="1" width="18"/>
    <col collapsed="false" customWidth="true" hidden="false" outlineLevel="0" max="5" min="5" style="1" width="55"/>
  </cols>
  <sheetData>
    <row r="1" customFormat="false" ht="21.75" hidden="false" customHeight="true" outlineLevel="0" collapsed="false">
      <c r="A1" s="2" t="s">
        <v>528</v>
      </c>
      <c r="B1" s="2"/>
      <c r="C1" s="2"/>
      <c r="D1" s="2"/>
      <c r="E1" s="2"/>
    </row>
    <row r="2" customFormat="false" ht="69.75" hidden="false" customHeight="true" outlineLevel="0" collapsed="false">
      <c r="A2" s="3" t="s">
        <v>529</v>
      </c>
      <c r="B2" s="3"/>
      <c r="C2" s="3"/>
      <c r="D2" s="3"/>
      <c r="E2" s="3"/>
    </row>
    <row r="4" customFormat="false" ht="15" hidden="false" customHeight="true" outlineLevel="0" collapsed="false">
      <c r="A4" s="52" t="s">
        <v>530</v>
      </c>
      <c r="B4" s="60" t="s">
        <v>349</v>
      </c>
      <c r="C4" s="61" t="s">
        <v>350</v>
      </c>
      <c r="D4" s="62" t="s">
        <v>351</v>
      </c>
      <c r="E4" s="52" t="s">
        <v>531</v>
      </c>
    </row>
    <row r="5" customFormat="false" ht="18" hidden="false" customHeight="true" outlineLevel="0" collapsed="false">
      <c r="A5" s="6" t="s">
        <v>532</v>
      </c>
      <c r="B5" s="6"/>
      <c r="C5" s="6"/>
      <c r="D5" s="6"/>
      <c r="E5" s="6"/>
    </row>
    <row r="6" customFormat="false" ht="21.75" hidden="false" customHeight="true" outlineLevel="0" collapsed="false">
      <c r="A6" s="57" t="s">
        <v>533</v>
      </c>
      <c r="B6" s="26" t="n">
        <f aca="false">Modelo_Runway!B26+Modelo_Runway!C26</f>
        <v>-655222</v>
      </c>
      <c r="C6" s="26" t="n">
        <f aca="false">Modelo_Runway!D26+Modelo_Runway!E26</f>
        <v>-494502</v>
      </c>
      <c r="D6" s="26" t="n">
        <f aca="false">Modelo_Runway!F26+Modelo_Runway!G26</f>
        <v>-291021</v>
      </c>
      <c r="E6" s="12" t="s">
        <v>534</v>
      </c>
    </row>
    <row r="7" customFormat="false" ht="21.75" hidden="false" customHeight="true" outlineLevel="0" collapsed="false">
      <c r="A7" s="57" t="s">
        <v>535</v>
      </c>
      <c r="B7" s="26" t="n">
        <f aca="false">Modelo_Runway!B7+Modelo_Runway!C7</f>
        <v>130000</v>
      </c>
      <c r="C7" s="26" t="n">
        <f aca="false">Modelo_Runway!D7+Modelo_Runway!E7</f>
        <v>240000</v>
      </c>
      <c r="D7" s="26" t="n">
        <f aca="false">Modelo_Runway!F7+Modelo_Runway!G7</f>
        <v>398000</v>
      </c>
      <c r="E7" s="12" t="s">
        <v>536</v>
      </c>
    </row>
    <row r="8" customFormat="false" ht="21.75" hidden="false" customHeight="true" outlineLevel="0" collapsed="false">
      <c r="A8" s="35" t="s">
        <v>537</v>
      </c>
      <c r="B8" s="43" t="n">
        <f aca="false">Modelo_Runway!C58</f>
        <v>-1188877</v>
      </c>
      <c r="C8" s="43" t="n">
        <f aca="false">Modelo_Runway!E58</f>
        <v>-878587</v>
      </c>
      <c r="D8" s="43" t="n">
        <f aca="false">Modelo_Runway!G58</f>
        <v>-540949</v>
      </c>
      <c r="E8" s="38" t="s">
        <v>538</v>
      </c>
    </row>
    <row r="9" customFormat="false" ht="21.75" hidden="false" customHeight="true" outlineLevel="0" collapsed="false">
      <c r="A9" s="57" t="s">
        <v>539</v>
      </c>
      <c r="B9" s="26" t="n">
        <f aca="false">Modelo_Runway!B57+Modelo_Runway!C57</f>
        <v>-1144107</v>
      </c>
      <c r="C9" s="26" t="n">
        <f aca="false">Modelo_Runway!D57+Modelo_Runway!E57</f>
        <v>-845145</v>
      </c>
      <c r="D9" s="26" t="n">
        <f aca="false">Modelo_Runway!F57+Modelo_Runway!G57</f>
        <v>-527897</v>
      </c>
      <c r="E9" s="12" t="s">
        <v>540</v>
      </c>
    </row>
    <row r="11" customFormat="false" ht="18" hidden="false" customHeight="true" outlineLevel="0" collapsed="false">
      <c r="A11" s="6" t="s">
        <v>541</v>
      </c>
      <c r="B11" s="6"/>
      <c r="C11" s="6"/>
      <c r="D11" s="6"/>
      <c r="E11" s="6"/>
    </row>
    <row r="12" customFormat="false" ht="21.75" hidden="false" customHeight="true" outlineLevel="0" collapsed="false">
      <c r="A12" s="57" t="s">
        <v>542</v>
      </c>
      <c r="B12" s="26" t="n">
        <f aca="false">ABS(Modelo_Runway!C58)*0.5</f>
        <v>594438.5</v>
      </c>
      <c r="C12" s="26" t="n">
        <f aca="false">ABS(Modelo_Runway!E58)*0.5</f>
        <v>439293.5</v>
      </c>
      <c r="D12" s="26" t="n">
        <f aca="false">ABS(Modelo_Runway!G58)*0.5</f>
        <v>270474.5</v>
      </c>
      <c r="E12" s="12" t="s">
        <v>543</v>
      </c>
    </row>
    <row r="13" customFormat="false" ht="21.75" hidden="false" customHeight="true" outlineLevel="0" collapsed="false">
      <c r="A13" s="57" t="s">
        <v>544</v>
      </c>
      <c r="B13" s="26" t="n">
        <f aca="false">Modelo_Runway!B8+Modelo_Runway!C8</f>
        <v>57800</v>
      </c>
      <c r="C13" s="26" t="n">
        <f aca="false">Modelo_Runway!D8+Modelo_Runway!E8</f>
        <v>53275</v>
      </c>
      <c r="D13" s="26" t="n">
        <f aca="false">Modelo_Runway!F8+Modelo_Runway!G8</f>
        <v>70350</v>
      </c>
      <c r="E13" s="12" t="s">
        <v>545</v>
      </c>
    </row>
    <row r="14" customFormat="false" ht="21.75" hidden="false" customHeight="true" outlineLevel="0" collapsed="false">
      <c r="A14" s="57" t="s">
        <v>546</v>
      </c>
      <c r="B14" s="26" t="n">
        <f aca="false">Modelo_Runway!C62</f>
        <v>1097916</v>
      </c>
      <c r="C14" s="26" t="n">
        <f aca="false">Modelo_Runway!E62</f>
        <v>1117916</v>
      </c>
      <c r="D14" s="26" t="n">
        <f aca="false">Modelo_Runway!G62</f>
        <v>1137916</v>
      </c>
      <c r="E14" s="12" t="s">
        <v>547</v>
      </c>
    </row>
    <row r="16" customFormat="false" ht="18" hidden="false" customHeight="true" outlineLevel="0" collapsed="false">
      <c r="A16" s="6" t="s">
        <v>548</v>
      </c>
      <c r="B16" s="6"/>
      <c r="C16" s="6"/>
      <c r="D16" s="6"/>
      <c r="E16" s="6"/>
    </row>
    <row r="17" customFormat="false" ht="21.75" hidden="false" customHeight="true" outlineLevel="0" collapsed="false">
      <c r="A17" s="57" t="s">
        <v>549</v>
      </c>
      <c r="B17" s="63" t="s">
        <v>550</v>
      </c>
      <c r="C17" s="64" t="s">
        <v>551</v>
      </c>
      <c r="D17" s="63" t="s">
        <v>552</v>
      </c>
      <c r="E17" s="11" t="s">
        <v>553</v>
      </c>
    </row>
    <row r="18" customFormat="false" ht="21.75" hidden="false" customHeight="true" outlineLevel="0" collapsed="false">
      <c r="A18" s="57" t="s">
        <v>554</v>
      </c>
      <c r="B18" s="63" t="s">
        <v>550</v>
      </c>
      <c r="C18" s="64" t="s">
        <v>555</v>
      </c>
      <c r="D18" s="65" t="s">
        <v>556</v>
      </c>
      <c r="E18" s="11" t="s">
        <v>557</v>
      </c>
    </row>
    <row r="19" customFormat="false" ht="21.75" hidden="false" customHeight="true" outlineLevel="0" collapsed="false">
      <c r="A19" s="57" t="s">
        <v>558</v>
      </c>
      <c r="B19" s="63" t="s">
        <v>559</v>
      </c>
      <c r="C19" s="64" t="s">
        <v>560</v>
      </c>
      <c r="D19" s="65" t="s">
        <v>561</v>
      </c>
      <c r="E19" s="11" t="s">
        <v>562</v>
      </c>
    </row>
    <row r="20" customFormat="false" ht="21.75" hidden="false" customHeight="true" outlineLevel="0" collapsed="false">
      <c r="A20" s="57" t="s">
        <v>563</v>
      </c>
      <c r="B20" s="63" t="s">
        <v>564</v>
      </c>
      <c r="C20" s="64" t="s">
        <v>565</v>
      </c>
      <c r="D20" s="65" t="s">
        <v>566</v>
      </c>
      <c r="E20" s="11" t="s">
        <v>567</v>
      </c>
    </row>
    <row r="23" customFormat="false" ht="17.25" hidden="false" customHeight="true" outlineLevel="0" collapsed="false">
      <c r="A23" s="66" t="s">
        <v>568</v>
      </c>
      <c r="B23" s="66"/>
      <c r="C23" s="66"/>
      <c r="D23" s="66"/>
      <c r="E23" s="66"/>
    </row>
    <row r="24" customFormat="false" ht="199.5" hidden="false" customHeight="true" outlineLevel="0" collapsed="false">
      <c r="A24" s="67" t="s">
        <v>569</v>
      </c>
      <c r="B24" s="67"/>
      <c r="C24" s="67"/>
      <c r="D24" s="67"/>
      <c r="E24" s="67"/>
    </row>
  </sheetData>
  <mergeCells count="7">
    <mergeCell ref="A1:E1"/>
    <mergeCell ref="A2:E2"/>
    <mergeCell ref="A5:E5"/>
    <mergeCell ref="A11:E11"/>
    <mergeCell ref="A16:E16"/>
    <mergeCell ref="A23:E23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11" min="2" style="1" width="11"/>
    <col collapsed="false" customWidth="true" hidden="false" outlineLevel="0" max="12" min="12" style="1" width="14"/>
    <col collapsed="false" customWidth="true" hidden="false" outlineLevel="0" max="13" min="13" style="1" width="50"/>
  </cols>
  <sheetData>
    <row r="1" customFormat="false" ht="21.75" hidden="false" customHeight="true" outlineLevel="0" collapsed="false">
      <c r="A1" s="2" t="s">
        <v>570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54.75" hidden="false" customHeight="true" outlineLevel="0" collapsed="false">
      <c r="A2" s="3" t="s">
        <v>571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15" hidden="false" customHeight="true" outlineLevel="0" collapsed="false">
      <c r="B4" s="4" t="s">
        <v>432</v>
      </c>
      <c r="C4" s="4" t="s">
        <v>433</v>
      </c>
      <c r="D4" s="4" t="s">
        <v>572</v>
      </c>
      <c r="E4" s="4" t="s">
        <v>573</v>
      </c>
      <c r="F4" s="4" t="s">
        <v>574</v>
      </c>
      <c r="G4" s="4" t="s">
        <v>575</v>
      </c>
      <c r="H4" s="4" t="s">
        <v>576</v>
      </c>
      <c r="I4" s="4" t="s">
        <v>577</v>
      </c>
      <c r="J4" s="4" t="s">
        <v>578</v>
      </c>
      <c r="K4" s="4" t="s">
        <v>579</v>
      </c>
      <c r="L4" s="52" t="s">
        <v>580</v>
      </c>
      <c r="M4" s="52" t="s">
        <v>352</v>
      </c>
    </row>
    <row r="5" customFormat="false" ht="18" hidden="false" customHeight="true" outlineLevel="0" collapsed="false">
      <c r="A5" s="6" t="s">
        <v>581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customFormat="false" ht="32.25" hidden="false" customHeight="true" outlineLevel="0" collapsed="false">
      <c r="A6" s="9" t="s">
        <v>582</v>
      </c>
      <c r="B6" s="10" t="n">
        <v>1500000</v>
      </c>
      <c r="C6" s="10" t="n">
        <v>1200000</v>
      </c>
      <c r="D6" s="10" t="n">
        <v>900000</v>
      </c>
      <c r="E6" s="10" t="n">
        <v>700000</v>
      </c>
      <c r="F6" s="10" t="n">
        <v>600000</v>
      </c>
      <c r="G6" s="10" t="n">
        <v>500000</v>
      </c>
      <c r="H6" s="10" t="n">
        <v>400000</v>
      </c>
      <c r="I6" s="10" t="n">
        <v>400000</v>
      </c>
      <c r="J6" s="10" t="n">
        <v>350000</v>
      </c>
      <c r="K6" s="10" t="n">
        <v>350000</v>
      </c>
      <c r="L6" s="14" t="n">
        <f aca="false">SUM(B6:K6)</f>
        <v>6900000</v>
      </c>
      <c r="M6" s="12" t="s">
        <v>583</v>
      </c>
    </row>
    <row r="8" customFormat="false" ht="18" hidden="false" customHeight="true" outlineLevel="0" collapsed="false">
      <c r="A8" s="6" t="s">
        <v>584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customFormat="false" ht="21.75" hidden="false" customHeight="true" outlineLevel="0" collapsed="false">
      <c r="A9" s="9" t="s">
        <v>585</v>
      </c>
      <c r="B9" s="47" t="n">
        <v>0.5</v>
      </c>
      <c r="C9" s="47" t="n">
        <v>0.4</v>
      </c>
      <c r="D9" s="47" t="n">
        <v>0.25</v>
      </c>
      <c r="E9" s="47" t="n">
        <v>0.15</v>
      </c>
      <c r="F9" s="47" t="n">
        <v>0.1</v>
      </c>
      <c r="G9" s="47" t="n">
        <v>0.05</v>
      </c>
      <c r="H9" s="47" t="n">
        <v>0.05</v>
      </c>
      <c r="I9" s="47" t="n">
        <v>0.05</v>
      </c>
      <c r="J9" s="47" t="n">
        <v>0.05</v>
      </c>
      <c r="K9" s="47" t="n">
        <v>0.05</v>
      </c>
      <c r="M9" s="12" t="s">
        <v>586</v>
      </c>
    </row>
    <row r="10" customFormat="false" ht="21.75" hidden="false" customHeight="true" outlineLevel="0" collapsed="false">
      <c r="A10" s="9" t="s">
        <v>587</v>
      </c>
      <c r="B10" s="47" t="n">
        <v>0.2</v>
      </c>
      <c r="C10" s="47" t="n">
        <v>0.25</v>
      </c>
      <c r="D10" s="47" t="n">
        <v>0.3</v>
      </c>
      <c r="E10" s="47" t="n">
        <v>0.35</v>
      </c>
      <c r="F10" s="47" t="n">
        <v>0.35</v>
      </c>
      <c r="G10" s="47" t="n">
        <v>0.4</v>
      </c>
      <c r="H10" s="47" t="n">
        <v>0.4</v>
      </c>
      <c r="I10" s="47" t="n">
        <v>0.4</v>
      </c>
      <c r="J10" s="47" t="n">
        <v>0.4</v>
      </c>
      <c r="K10" s="47" t="n">
        <v>0.4</v>
      </c>
      <c r="M10" s="12" t="s">
        <v>588</v>
      </c>
    </row>
    <row r="11" customFormat="false" ht="21.75" hidden="false" customHeight="true" outlineLevel="0" collapsed="false">
      <c r="A11" s="9" t="s">
        <v>589</v>
      </c>
      <c r="B11" s="47" t="n">
        <v>0.15</v>
      </c>
      <c r="C11" s="47" t="n">
        <v>0.2</v>
      </c>
      <c r="D11" s="47" t="n">
        <v>0.25</v>
      </c>
      <c r="E11" s="47" t="n">
        <v>0.3</v>
      </c>
      <c r="F11" s="47" t="n">
        <v>0.3</v>
      </c>
      <c r="G11" s="47" t="n">
        <v>0.3</v>
      </c>
      <c r="H11" s="47" t="n">
        <v>0.3</v>
      </c>
      <c r="I11" s="47" t="n">
        <v>0.3</v>
      </c>
      <c r="J11" s="47" t="n">
        <v>0.3</v>
      </c>
      <c r="K11" s="47" t="n">
        <v>0.3</v>
      </c>
      <c r="M11" s="12" t="s">
        <v>590</v>
      </c>
    </row>
    <row r="12" customFormat="false" ht="21.75" hidden="false" customHeight="true" outlineLevel="0" collapsed="false">
      <c r="A12" s="9" t="s">
        <v>591</v>
      </c>
      <c r="B12" s="47" t="n">
        <v>0.1</v>
      </c>
      <c r="C12" s="47" t="n">
        <v>0.1</v>
      </c>
      <c r="D12" s="47" t="n">
        <v>0.15</v>
      </c>
      <c r="E12" s="47" t="n">
        <v>0.15</v>
      </c>
      <c r="F12" s="47" t="n">
        <v>0.2</v>
      </c>
      <c r="G12" s="47" t="n">
        <v>0.2</v>
      </c>
      <c r="H12" s="47" t="n">
        <v>0.2</v>
      </c>
      <c r="I12" s="47" t="n">
        <v>0.2</v>
      </c>
      <c r="J12" s="47" t="n">
        <v>0.2</v>
      </c>
      <c r="K12" s="47" t="n">
        <v>0.2</v>
      </c>
      <c r="M12" s="12" t="s">
        <v>592</v>
      </c>
    </row>
    <row r="13" customFormat="false" ht="15" hidden="false" customHeight="true" outlineLevel="0" collapsed="false">
      <c r="A13" s="9" t="s">
        <v>593</v>
      </c>
      <c r="B13" s="47" t="n">
        <v>0.05</v>
      </c>
      <c r="C13" s="47" t="n">
        <v>0.05</v>
      </c>
      <c r="D13" s="47" t="n">
        <v>0.05</v>
      </c>
      <c r="E13" s="47" t="n">
        <v>0.05</v>
      </c>
      <c r="F13" s="47" t="n">
        <v>0.05</v>
      </c>
      <c r="G13" s="47" t="n">
        <v>0.05</v>
      </c>
      <c r="H13" s="47" t="n">
        <v>0.05</v>
      </c>
      <c r="I13" s="47" t="n">
        <v>0.05</v>
      </c>
      <c r="J13" s="47" t="n">
        <v>0.05</v>
      </c>
      <c r="K13" s="47" t="n">
        <v>0.05</v>
      </c>
      <c r="M13" s="12" t="s">
        <v>594</v>
      </c>
    </row>
    <row r="14" customFormat="false" ht="15" hidden="false" customHeight="true" outlineLevel="0" collapsed="false">
      <c r="A14" s="68" t="s">
        <v>595</v>
      </c>
      <c r="B14" s="69" t="n">
        <f aca="false">B9+B10+B11+B12+B13</f>
        <v>1</v>
      </c>
      <c r="C14" s="69" t="n">
        <f aca="false">C9+C10+C11+C12+C13</f>
        <v>1</v>
      </c>
      <c r="D14" s="69" t="n">
        <f aca="false">D9+D10+D11+D12+D13</f>
        <v>1</v>
      </c>
      <c r="E14" s="69" t="n">
        <f aca="false">E9+E10+E11+E12+E13</f>
        <v>1</v>
      </c>
      <c r="F14" s="69" t="n">
        <f aca="false">F9+F10+F11+F12+F13</f>
        <v>1</v>
      </c>
      <c r="G14" s="69" t="n">
        <f aca="false">G9+G10+G11+G12+G13</f>
        <v>1</v>
      </c>
      <c r="H14" s="69" t="n">
        <f aca="false">H9+H10+H11+H12+H13</f>
        <v>1</v>
      </c>
      <c r="I14" s="69" t="n">
        <f aca="false">I9+I10+I11+I12+I13</f>
        <v>1</v>
      </c>
      <c r="J14" s="69" t="n">
        <f aca="false">J9+J10+J11+J12+J13</f>
        <v>1</v>
      </c>
      <c r="K14" s="69" t="n">
        <f aca="false">K9+K10+K11+K12+K13</f>
        <v>1</v>
      </c>
    </row>
    <row r="16" customFormat="false" ht="18" hidden="false" customHeight="true" outlineLevel="0" collapsed="false">
      <c r="A16" s="6" t="s">
        <v>596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customFormat="false" ht="15" hidden="false" customHeight="true" outlineLevel="0" collapsed="false">
      <c r="A17" s="9" t="s">
        <v>597</v>
      </c>
      <c r="B17" s="48" t="n">
        <f aca="false">ROUND(B6*B9,0)</f>
        <v>750000</v>
      </c>
      <c r="C17" s="48" t="n">
        <f aca="false">ROUND(C6*C9,0)</f>
        <v>480000</v>
      </c>
      <c r="D17" s="48" t="n">
        <f aca="false">ROUND(D6*D9,0)</f>
        <v>225000</v>
      </c>
      <c r="E17" s="48" t="n">
        <f aca="false">ROUND(E6*E9,0)</f>
        <v>105000</v>
      </c>
      <c r="F17" s="48" t="n">
        <f aca="false">ROUND(F6*F9,0)</f>
        <v>60000</v>
      </c>
      <c r="G17" s="48" t="n">
        <f aca="false">ROUND(G6*G9,0)</f>
        <v>25000</v>
      </c>
      <c r="H17" s="48" t="n">
        <f aca="false">ROUND(H6*H9,0)</f>
        <v>20000</v>
      </c>
      <c r="I17" s="48" t="n">
        <f aca="false">ROUND(I6*I9,0)</f>
        <v>20000</v>
      </c>
      <c r="J17" s="48" t="n">
        <f aca="false">ROUND(J6*J9,0)</f>
        <v>17500</v>
      </c>
      <c r="K17" s="48" t="n">
        <f aca="false">ROUND(K6*K9,0)</f>
        <v>17500</v>
      </c>
      <c r="L17" s="14" t="n">
        <f aca="false">SUM(B17:K17)</f>
        <v>1720000</v>
      </c>
      <c r="M17" s="12" t="s">
        <v>598</v>
      </c>
    </row>
    <row r="18" customFormat="false" ht="15" hidden="false" customHeight="true" outlineLevel="0" collapsed="false">
      <c r="A18" s="9" t="s">
        <v>599</v>
      </c>
      <c r="B18" s="48" t="n">
        <f aca="false">ROUND(B6*B10,0)</f>
        <v>300000</v>
      </c>
      <c r="C18" s="48" t="n">
        <f aca="false">ROUND(C6*C10,0)</f>
        <v>300000</v>
      </c>
      <c r="D18" s="48" t="n">
        <f aca="false">ROUND(D6*D10,0)</f>
        <v>270000</v>
      </c>
      <c r="E18" s="48" t="n">
        <f aca="false">ROUND(E6*E10,0)</f>
        <v>245000</v>
      </c>
      <c r="F18" s="48" t="n">
        <f aca="false">ROUND(F6*F10,0)</f>
        <v>210000</v>
      </c>
      <c r="G18" s="48" t="n">
        <f aca="false">ROUND(G6*G10,0)</f>
        <v>200000</v>
      </c>
      <c r="H18" s="48" t="n">
        <f aca="false">ROUND(H6*H10,0)</f>
        <v>160000</v>
      </c>
      <c r="I18" s="48" t="n">
        <f aca="false">ROUND(I6*I10,0)</f>
        <v>160000</v>
      </c>
      <c r="J18" s="48" t="n">
        <f aca="false">ROUND(J6*J10,0)</f>
        <v>140000</v>
      </c>
      <c r="K18" s="48" t="n">
        <f aca="false">ROUND(K6*K10,0)</f>
        <v>140000</v>
      </c>
      <c r="L18" s="14" t="n">
        <f aca="false">SUM(B18:K18)</f>
        <v>2125000</v>
      </c>
      <c r="M18" s="12" t="s">
        <v>600</v>
      </c>
    </row>
    <row r="19" customFormat="false" ht="15" hidden="false" customHeight="true" outlineLevel="0" collapsed="false">
      <c r="A19" s="9" t="s">
        <v>601</v>
      </c>
      <c r="B19" s="48" t="n">
        <f aca="false">ROUND(B6*B11,0)</f>
        <v>225000</v>
      </c>
      <c r="C19" s="48" t="n">
        <f aca="false">ROUND(C6*C11,0)</f>
        <v>240000</v>
      </c>
      <c r="D19" s="48" t="n">
        <f aca="false">ROUND(D6*D11,0)</f>
        <v>225000</v>
      </c>
      <c r="E19" s="48" t="n">
        <f aca="false">ROUND(E6*E11,0)</f>
        <v>210000</v>
      </c>
      <c r="F19" s="48" t="n">
        <f aca="false">ROUND(F6*F11,0)</f>
        <v>180000</v>
      </c>
      <c r="G19" s="48" t="n">
        <f aca="false">ROUND(G6*G11,0)</f>
        <v>150000</v>
      </c>
      <c r="H19" s="48" t="n">
        <f aca="false">ROUND(H6*H11,0)</f>
        <v>120000</v>
      </c>
      <c r="I19" s="48" t="n">
        <f aca="false">ROUND(I6*I11,0)</f>
        <v>120000</v>
      </c>
      <c r="J19" s="48" t="n">
        <f aca="false">ROUND(J6*J11,0)</f>
        <v>105000</v>
      </c>
      <c r="K19" s="48" t="n">
        <f aca="false">ROUND(K6*K11,0)</f>
        <v>105000</v>
      </c>
      <c r="L19" s="14" t="n">
        <f aca="false">SUM(B19:K19)</f>
        <v>1680000</v>
      </c>
      <c r="M19" s="12" t="s">
        <v>602</v>
      </c>
    </row>
    <row r="20" customFormat="false" ht="15" hidden="false" customHeight="true" outlineLevel="0" collapsed="false">
      <c r="A20" s="9" t="s">
        <v>603</v>
      </c>
      <c r="B20" s="48" t="n">
        <f aca="false">ROUND(B6*B12,0)</f>
        <v>150000</v>
      </c>
      <c r="C20" s="48" t="n">
        <f aca="false">ROUND(C6*C12,0)</f>
        <v>120000</v>
      </c>
      <c r="D20" s="48" t="n">
        <f aca="false">ROUND(D6*D12,0)</f>
        <v>135000</v>
      </c>
      <c r="E20" s="48" t="n">
        <f aca="false">ROUND(E6*E12,0)</f>
        <v>105000</v>
      </c>
      <c r="F20" s="48" t="n">
        <f aca="false">ROUND(F6*F12,0)</f>
        <v>120000</v>
      </c>
      <c r="G20" s="48" t="n">
        <f aca="false">ROUND(G6*G12,0)</f>
        <v>100000</v>
      </c>
      <c r="H20" s="48" t="n">
        <f aca="false">ROUND(H6*H12,0)</f>
        <v>80000</v>
      </c>
      <c r="I20" s="48" t="n">
        <f aca="false">ROUND(I6*I12,0)</f>
        <v>80000</v>
      </c>
      <c r="J20" s="48" t="n">
        <f aca="false">ROUND(J6*J12,0)</f>
        <v>70000</v>
      </c>
      <c r="K20" s="48" t="n">
        <f aca="false">ROUND(K6*K12,0)</f>
        <v>70000</v>
      </c>
      <c r="L20" s="14" t="n">
        <f aca="false">SUM(B20:K20)</f>
        <v>1030000</v>
      </c>
      <c r="M20" s="12" t="s">
        <v>604</v>
      </c>
    </row>
    <row r="21" customFormat="false" ht="15" hidden="false" customHeight="true" outlineLevel="0" collapsed="false">
      <c r="A21" s="9" t="s">
        <v>605</v>
      </c>
      <c r="B21" s="48" t="n">
        <f aca="false">ROUND(B6*B13,0)</f>
        <v>75000</v>
      </c>
      <c r="C21" s="48" t="n">
        <f aca="false">ROUND(C6*C13,0)</f>
        <v>60000</v>
      </c>
      <c r="D21" s="48" t="n">
        <f aca="false">ROUND(D6*D13,0)</f>
        <v>45000</v>
      </c>
      <c r="E21" s="48" t="n">
        <f aca="false">ROUND(E6*E13,0)</f>
        <v>35000</v>
      </c>
      <c r="F21" s="48" t="n">
        <f aca="false">ROUND(F6*F13,0)</f>
        <v>30000</v>
      </c>
      <c r="G21" s="48" t="n">
        <f aca="false">ROUND(G6*G13,0)</f>
        <v>25000</v>
      </c>
      <c r="H21" s="48" t="n">
        <f aca="false">ROUND(H6*H13,0)</f>
        <v>20000</v>
      </c>
      <c r="I21" s="48" t="n">
        <f aca="false">ROUND(I6*I13,0)</f>
        <v>20000</v>
      </c>
      <c r="J21" s="48" t="n">
        <f aca="false">ROUND(J6*J13,0)</f>
        <v>17500</v>
      </c>
      <c r="K21" s="48" t="n">
        <f aca="false">ROUND(K6*K13,0)</f>
        <v>17500</v>
      </c>
      <c r="L21" s="14" t="n">
        <f aca="false">SUM(B21:K21)</f>
        <v>345000</v>
      </c>
      <c r="M21" s="12" t="s">
        <v>606</v>
      </c>
    </row>
    <row r="23" customFormat="false" ht="18" hidden="false" customHeight="true" outlineLevel="0" collapsed="false">
      <c r="A23" s="6" t="s">
        <v>607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customFormat="false" ht="15" hidden="false" customHeight="true" outlineLevel="0" collapsed="false">
      <c r="A24" s="9" t="s">
        <v>608</v>
      </c>
      <c r="B24" s="26" t="n">
        <f aca="false">BP!E48</f>
        <v>1042916</v>
      </c>
      <c r="C24" s="48" t="n">
        <f aca="false">B27</f>
        <v>312916</v>
      </c>
      <c r="D24" s="48" t="n">
        <f aca="false">C27</f>
        <v>-149084</v>
      </c>
      <c r="E24" s="48" t="n">
        <f aca="false">D27</f>
        <v>-359084</v>
      </c>
      <c r="F24" s="48" t="n">
        <f aca="false">E27</f>
        <v>-452084</v>
      </c>
      <c r="G24" s="48" t="n">
        <f aca="false">F27</f>
        <v>-502084</v>
      </c>
      <c r="H24" s="48" t="n">
        <f aca="false">G27</f>
        <v>-519084</v>
      </c>
      <c r="I24" s="48" t="n">
        <f aca="false">H27</f>
        <v>-533084</v>
      </c>
      <c r="J24" s="48" t="n">
        <f aca="false">I27</f>
        <v>-549084</v>
      </c>
      <c r="K24" s="48" t="n">
        <f aca="false">J27</f>
        <v>-564584</v>
      </c>
      <c r="L24" s="14" t="n">
        <f aca="false">SUM(B24:K24)</f>
        <v>-2272340</v>
      </c>
      <c r="M24" s="12" t="s">
        <v>609</v>
      </c>
    </row>
    <row r="25" customFormat="false" ht="15" hidden="false" customHeight="true" outlineLevel="0" collapsed="false">
      <c r="A25" s="9" t="s">
        <v>610</v>
      </c>
      <c r="B25" s="48" t="n">
        <f aca="false">-B17</f>
        <v>-750000</v>
      </c>
      <c r="C25" s="48" t="n">
        <f aca="false">-C17</f>
        <v>-480000</v>
      </c>
      <c r="D25" s="48" t="n">
        <f aca="false">-D17</f>
        <v>-225000</v>
      </c>
      <c r="E25" s="48" t="n">
        <f aca="false">-E17</f>
        <v>-105000</v>
      </c>
      <c r="F25" s="48" t="n">
        <f aca="false">-F17</f>
        <v>-60000</v>
      </c>
      <c r="G25" s="48" t="n">
        <f aca="false">-G17</f>
        <v>-25000</v>
      </c>
      <c r="H25" s="48" t="n">
        <f aca="false">-H17</f>
        <v>-20000</v>
      </c>
      <c r="I25" s="48" t="n">
        <f aca="false">-I17</f>
        <v>-20000</v>
      </c>
      <c r="J25" s="48" t="n">
        <f aca="false">-J17</f>
        <v>-17500</v>
      </c>
      <c r="K25" s="48" t="n">
        <f aca="false">-K17</f>
        <v>-17500</v>
      </c>
      <c r="L25" s="14" t="n">
        <f aca="false">SUM(B25:K25)</f>
        <v>-1720000</v>
      </c>
      <c r="M25" s="11"/>
    </row>
    <row r="26" customFormat="false" ht="21.75" hidden="false" customHeight="true" outlineLevel="0" collapsed="false">
      <c r="A26" s="9" t="s">
        <v>611</v>
      </c>
      <c r="B26" s="10" t="n">
        <v>20000</v>
      </c>
      <c r="C26" s="10" t="n">
        <v>18000</v>
      </c>
      <c r="D26" s="10" t="n">
        <v>15000</v>
      </c>
      <c r="E26" s="10" t="n">
        <v>12000</v>
      </c>
      <c r="F26" s="10" t="n">
        <v>10000</v>
      </c>
      <c r="G26" s="10" t="n">
        <v>8000</v>
      </c>
      <c r="H26" s="10" t="n">
        <v>6000</v>
      </c>
      <c r="I26" s="10" t="n">
        <v>4000</v>
      </c>
      <c r="J26" s="10" t="n">
        <v>2000</v>
      </c>
      <c r="K26" s="10" t="n">
        <v>0</v>
      </c>
      <c r="L26" s="14" t="n">
        <f aca="false">SUM(B26:K26)</f>
        <v>95000</v>
      </c>
      <c r="M26" s="12" t="s">
        <v>612</v>
      </c>
    </row>
    <row r="27" customFormat="false" ht="15" hidden="false" customHeight="true" outlineLevel="0" collapsed="false">
      <c r="A27" s="13" t="s">
        <v>613</v>
      </c>
      <c r="B27" s="14" t="n">
        <f aca="false">B24+B25+B26</f>
        <v>312916</v>
      </c>
      <c r="C27" s="14" t="n">
        <f aca="false">C24+C25+C26</f>
        <v>-149084</v>
      </c>
      <c r="D27" s="14" t="n">
        <f aca="false">D24+D25+D26</f>
        <v>-359084</v>
      </c>
      <c r="E27" s="14" t="n">
        <f aca="false">E24+E25+E26</f>
        <v>-452084</v>
      </c>
      <c r="F27" s="14" t="n">
        <f aca="false">F24+F25+F26</f>
        <v>-502084</v>
      </c>
      <c r="G27" s="14" t="n">
        <f aca="false">G24+G25+G26</f>
        <v>-519084</v>
      </c>
      <c r="H27" s="14" t="n">
        <f aca="false">H24+H25+H26</f>
        <v>-533084</v>
      </c>
      <c r="I27" s="14" t="n">
        <f aca="false">I24+I25+I26</f>
        <v>-549084</v>
      </c>
      <c r="J27" s="14" t="n">
        <f aca="false">J24+J25+J26</f>
        <v>-564584</v>
      </c>
      <c r="K27" s="14" t="n">
        <f aca="false">K24+K25+K26</f>
        <v>-582084</v>
      </c>
      <c r="L27" s="14"/>
      <c r="M27" s="15"/>
    </row>
    <row r="29" customFormat="false" ht="18" hidden="false" customHeight="true" outlineLevel="0" collapsed="false">
      <c r="A29" s="6" t="s">
        <v>614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customFormat="false" ht="21.75" hidden="false" customHeight="true" outlineLevel="0" collapsed="false">
      <c r="A30" s="9" t="s">
        <v>615</v>
      </c>
      <c r="B30" s="26" t="n">
        <f aca="false">Modelo_Runway!D40</f>
        <v>-346436</v>
      </c>
      <c r="C30" s="26" t="n">
        <f aca="false">Modelo_Runway!E40</f>
        <v>-360709</v>
      </c>
      <c r="D30" s="10" t="n">
        <v>-360000</v>
      </c>
      <c r="E30" s="10" t="n">
        <v>-320000</v>
      </c>
      <c r="F30" s="10" t="n">
        <v>-280000</v>
      </c>
      <c r="G30" s="10" t="n">
        <v>-240000</v>
      </c>
      <c r="H30" s="10" t="n">
        <v>-200000</v>
      </c>
      <c r="I30" s="10" t="n">
        <v>-180000</v>
      </c>
      <c r="J30" s="10" t="n">
        <v>-180000</v>
      </c>
      <c r="K30" s="10" t="n">
        <v>-180000</v>
      </c>
      <c r="L30" s="14" t="n">
        <f aca="false">SUM(B30:K30)</f>
        <v>-2647145</v>
      </c>
      <c r="M30" s="12" t="s">
        <v>616</v>
      </c>
    </row>
    <row r="31" customFormat="false" ht="15" hidden="false" customHeight="true" outlineLevel="0" collapsed="false">
      <c r="A31" s="9" t="s">
        <v>617</v>
      </c>
      <c r="B31" s="10" t="n">
        <v>104000</v>
      </c>
      <c r="C31" s="10" t="n">
        <v>88000</v>
      </c>
      <c r="D31" s="10" t="n">
        <v>140000</v>
      </c>
      <c r="E31" s="10" t="n">
        <v>160000</v>
      </c>
      <c r="F31" s="10" t="n">
        <v>180000</v>
      </c>
      <c r="G31" s="10" t="n">
        <v>200000</v>
      </c>
      <c r="H31" s="10" t="n">
        <v>200000</v>
      </c>
      <c r="I31" s="10" t="n">
        <v>220000</v>
      </c>
      <c r="J31" s="10" t="n">
        <v>220000</v>
      </c>
      <c r="K31" s="10" t="n">
        <v>220000</v>
      </c>
      <c r="L31" s="14" t="n">
        <f aca="false">SUM(B31:K31)</f>
        <v>1732000</v>
      </c>
      <c r="M31" s="12" t="s">
        <v>618</v>
      </c>
    </row>
    <row r="32" customFormat="false" ht="15" hidden="false" customHeight="true" outlineLevel="0" collapsed="false">
      <c r="A32" s="9" t="s">
        <v>619</v>
      </c>
      <c r="B32" s="48" t="n">
        <f aca="false">B18-B18</f>
        <v>0</v>
      </c>
      <c r="C32" s="48" t="n">
        <f aca="false">C18-C18</f>
        <v>0</v>
      </c>
      <c r="D32" s="48" t="n">
        <f aca="false">D18-D18</f>
        <v>0</v>
      </c>
      <c r="E32" s="48" t="n">
        <f aca="false">E18-E18</f>
        <v>0</v>
      </c>
      <c r="F32" s="48" t="n">
        <f aca="false">F18-F18</f>
        <v>0</v>
      </c>
      <c r="G32" s="48" t="n">
        <f aca="false">G18-G18</f>
        <v>0</v>
      </c>
      <c r="H32" s="48" t="n">
        <f aca="false">H18-H18</f>
        <v>0</v>
      </c>
      <c r="I32" s="48" t="n">
        <f aca="false">I18-I18</f>
        <v>0</v>
      </c>
      <c r="J32" s="48" t="n">
        <f aca="false">J18-J18</f>
        <v>0</v>
      </c>
      <c r="K32" s="48" t="n">
        <f aca="false">K18-K18</f>
        <v>0</v>
      </c>
      <c r="L32" s="14" t="n">
        <f aca="false">SUM(B32:K32)</f>
        <v>0</v>
      </c>
      <c r="M32" s="12" t="s">
        <v>620</v>
      </c>
    </row>
    <row r="33" customFormat="false" ht="15" hidden="false" customHeight="true" outlineLevel="0" collapsed="false">
      <c r="A33" s="19" t="s">
        <v>621</v>
      </c>
      <c r="B33" s="20" t="n">
        <f aca="false">B30+B31</f>
        <v>-242436</v>
      </c>
      <c r="C33" s="20" t="n">
        <f aca="false">C30+C31</f>
        <v>-272709</v>
      </c>
      <c r="D33" s="20" t="n">
        <f aca="false">D30+D31</f>
        <v>-220000</v>
      </c>
      <c r="E33" s="20" t="n">
        <f aca="false">E30+E31</f>
        <v>-160000</v>
      </c>
      <c r="F33" s="20" t="n">
        <f aca="false">F30+F31</f>
        <v>-100000</v>
      </c>
      <c r="G33" s="20" t="n">
        <f aca="false">G30+G31</f>
        <v>-40000</v>
      </c>
      <c r="H33" s="20" t="n">
        <f aca="false">H30+H31</f>
        <v>0</v>
      </c>
      <c r="I33" s="20" t="n">
        <f aca="false">I30+I31</f>
        <v>40000</v>
      </c>
      <c r="J33" s="20" t="n">
        <f aca="false">J30+J31</f>
        <v>40000</v>
      </c>
      <c r="K33" s="20" t="n">
        <f aca="false">K30+K31</f>
        <v>40000</v>
      </c>
      <c r="L33" s="20" t="n">
        <f aca="false">SUM(B33:K33)</f>
        <v>-915145</v>
      </c>
      <c r="M33" s="21"/>
    </row>
    <row r="35" customFormat="false" ht="18" hidden="false" customHeight="true" outlineLevel="0" collapsed="false">
      <c r="A35" s="6" t="s">
        <v>622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customFormat="false" ht="15" hidden="false" customHeight="true" outlineLevel="0" collapsed="false">
      <c r="A36" s="9" t="s">
        <v>623</v>
      </c>
      <c r="B36" s="70" t="n">
        <v>0.65</v>
      </c>
      <c r="M36" s="12" t="s">
        <v>624</v>
      </c>
    </row>
    <row r="37" customFormat="false" ht="15" hidden="false" customHeight="true" outlineLevel="0" collapsed="false">
      <c r="A37" s="9" t="s">
        <v>625</v>
      </c>
      <c r="B37" s="70" t="n">
        <v>0.35</v>
      </c>
      <c r="M37" s="11"/>
    </row>
    <row r="38" customFormat="false" ht="15" hidden="false" customHeight="true" outlineLevel="0" collapsed="false">
      <c r="A38" s="9" t="s">
        <v>626</v>
      </c>
      <c r="B38" s="71" t="s">
        <v>627</v>
      </c>
      <c r="M38" s="11"/>
    </row>
    <row r="39" customFormat="false" ht="15" hidden="false" customHeight="true" outlineLevel="0" collapsed="false">
      <c r="A39" s="9" t="s">
        <v>628</v>
      </c>
      <c r="B39" s="71" t="n">
        <v>40</v>
      </c>
      <c r="M39" s="12" t="s">
        <v>629</v>
      </c>
    </row>
    <row r="42" customFormat="false" ht="21.75" hidden="false" customHeight="true" outlineLevel="0" collapsed="false">
      <c r="A42" s="66" t="s">
        <v>630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</row>
    <row r="44" customFormat="false" ht="15" hidden="false" customHeight="true" outlineLevel="0" collapsed="false">
      <c r="A44" s="72" t="s">
        <v>631</v>
      </c>
      <c r="B44" s="73" t="s">
        <v>632</v>
      </c>
      <c r="C44" s="73"/>
      <c r="D44" s="74" t="s">
        <v>633</v>
      </c>
      <c r="E44" s="74"/>
      <c r="F44" s="75" t="s">
        <v>634</v>
      </c>
      <c r="G44" s="75"/>
    </row>
    <row r="45" customFormat="false" ht="15" hidden="false" customHeight="true" outlineLevel="0" collapsed="false">
      <c r="A45" s="52"/>
      <c r="B45" s="52" t="s">
        <v>432</v>
      </c>
      <c r="C45" s="52" t="s">
        <v>433</v>
      </c>
      <c r="D45" s="52" t="s">
        <v>432</v>
      </c>
      <c r="E45" s="52" t="s">
        <v>433</v>
      </c>
      <c r="F45" s="52" t="s">
        <v>432</v>
      </c>
      <c r="G45" s="52" t="s">
        <v>433</v>
      </c>
    </row>
    <row r="46" customFormat="false" ht="15" hidden="false" customHeight="true" outlineLevel="0" collapsed="false">
      <c r="A46" s="57" t="s">
        <v>613</v>
      </c>
      <c r="B46" s="26" t="n">
        <f aca="false">Modelo_Runway!D62</f>
        <v>1082916</v>
      </c>
      <c r="C46" s="26" t="n">
        <f aca="false">Modelo_Runway!E62</f>
        <v>1117916</v>
      </c>
      <c r="D46" s="26" t="n">
        <f aca="false">B27</f>
        <v>312916</v>
      </c>
      <c r="E46" s="26" t="n">
        <f aca="false">C27</f>
        <v>-149084</v>
      </c>
      <c r="F46" s="26" t="n">
        <f aca="false">D46-B46</f>
        <v>-770000</v>
      </c>
      <c r="G46" s="26" t="n">
        <f aca="false">E46-C46</f>
        <v>-1267000</v>
      </c>
    </row>
    <row r="47" customFormat="false" ht="15" hidden="false" customHeight="true" outlineLevel="0" collapsed="false">
      <c r="A47" s="57" t="s">
        <v>635</v>
      </c>
      <c r="B47" s="26" t="n">
        <f aca="false">Modelo_Runway!D40</f>
        <v>-346436</v>
      </c>
      <c r="C47" s="26" t="n">
        <f aca="false">Modelo_Runway!E40</f>
        <v>-360709</v>
      </c>
      <c r="D47" s="26" t="n">
        <f aca="false">B30</f>
        <v>-346436</v>
      </c>
      <c r="E47" s="26" t="n">
        <f aca="false">C30</f>
        <v>-360709</v>
      </c>
      <c r="F47" s="26" t="n">
        <f aca="false">D47-B47</f>
        <v>0</v>
      </c>
      <c r="G47" s="26" t="n">
        <f aca="false">E47-C47</f>
        <v>0</v>
      </c>
    </row>
    <row r="48" customFormat="false" ht="15" hidden="false" customHeight="true" outlineLevel="0" collapsed="false">
      <c r="A48" s="57" t="s">
        <v>636</v>
      </c>
      <c r="B48" s="26" t="n">
        <v>0</v>
      </c>
      <c r="C48" s="26" t="n">
        <v>0</v>
      </c>
      <c r="D48" s="26" t="n">
        <f aca="false">B6</f>
        <v>1500000</v>
      </c>
      <c r="E48" s="26" t="n">
        <f aca="false">C6</f>
        <v>1200000</v>
      </c>
      <c r="F48" s="26" t="n">
        <f aca="false">D48-B48</f>
        <v>1500000</v>
      </c>
      <c r="G48" s="26" t="n">
        <f aca="false">E48-C48</f>
        <v>1200000</v>
      </c>
    </row>
    <row r="50" customFormat="false" ht="21.75" hidden="false" customHeight="true" outlineLevel="0" collapsed="false">
      <c r="A50" s="66" t="s">
        <v>637</v>
      </c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</row>
    <row r="52" customFormat="false" ht="37.5" hidden="false" customHeight="true" outlineLevel="0" collapsed="false">
      <c r="A52" s="76" t="s">
        <v>638</v>
      </c>
      <c r="B52" s="76"/>
      <c r="C52" s="76"/>
      <c r="D52" s="76"/>
      <c r="E52" s="77" t="s">
        <v>639</v>
      </c>
      <c r="F52" s="77"/>
      <c r="G52" s="77"/>
      <c r="H52" s="77"/>
      <c r="I52" s="77"/>
      <c r="J52" s="77"/>
      <c r="K52" s="77"/>
      <c r="L52" s="77"/>
      <c r="M52" s="77"/>
    </row>
    <row r="53" customFormat="false" ht="37.5" hidden="false" customHeight="true" outlineLevel="0" collapsed="false">
      <c r="A53" s="76" t="s">
        <v>640</v>
      </c>
      <c r="B53" s="76"/>
      <c r="C53" s="76"/>
      <c r="D53" s="76"/>
      <c r="E53" s="77" t="s">
        <v>641</v>
      </c>
      <c r="F53" s="77"/>
      <c r="G53" s="77"/>
      <c r="H53" s="77"/>
      <c r="I53" s="77"/>
      <c r="J53" s="77"/>
      <c r="K53" s="77"/>
      <c r="L53" s="77"/>
      <c r="M53" s="77"/>
    </row>
    <row r="54" customFormat="false" ht="37.5" hidden="false" customHeight="true" outlineLevel="0" collapsed="false">
      <c r="A54" s="76" t="s">
        <v>642</v>
      </c>
      <c r="B54" s="76"/>
      <c r="C54" s="76"/>
      <c r="D54" s="76"/>
      <c r="E54" s="77" t="s">
        <v>643</v>
      </c>
      <c r="F54" s="77"/>
      <c r="G54" s="77"/>
      <c r="H54" s="77"/>
      <c r="I54" s="77"/>
      <c r="J54" s="77"/>
      <c r="K54" s="77"/>
      <c r="L54" s="77"/>
      <c r="M54" s="77"/>
    </row>
    <row r="55" customFormat="false" ht="37.5" hidden="false" customHeight="true" outlineLevel="0" collapsed="false">
      <c r="A55" s="76" t="s">
        <v>644</v>
      </c>
      <c r="B55" s="76"/>
      <c r="C55" s="76"/>
      <c r="D55" s="76"/>
      <c r="E55" s="77" t="s">
        <v>645</v>
      </c>
      <c r="F55" s="77"/>
      <c r="G55" s="77"/>
      <c r="H55" s="77"/>
      <c r="I55" s="77"/>
      <c r="J55" s="77"/>
      <c r="K55" s="77"/>
      <c r="L55" s="77"/>
      <c r="M55" s="77"/>
    </row>
    <row r="56" customFormat="false" ht="37.5" hidden="false" customHeight="true" outlineLevel="0" collapsed="false">
      <c r="A56" s="76" t="s">
        <v>646</v>
      </c>
      <c r="B56" s="76"/>
      <c r="C56" s="76"/>
      <c r="D56" s="76"/>
      <c r="E56" s="77" t="s">
        <v>647</v>
      </c>
      <c r="F56" s="77"/>
      <c r="G56" s="77"/>
      <c r="H56" s="77"/>
      <c r="I56" s="77"/>
      <c r="J56" s="77"/>
      <c r="K56" s="77"/>
      <c r="L56" s="77"/>
      <c r="M56" s="77"/>
    </row>
    <row r="57" customFormat="false" ht="37.5" hidden="false" customHeight="true" outlineLevel="0" collapsed="false">
      <c r="A57" s="76" t="s">
        <v>648</v>
      </c>
      <c r="B57" s="76"/>
      <c r="C57" s="76"/>
      <c r="D57" s="76"/>
      <c r="E57" s="77" t="s">
        <v>649</v>
      </c>
      <c r="F57" s="77"/>
      <c r="G57" s="77"/>
      <c r="H57" s="77"/>
      <c r="I57" s="77"/>
      <c r="J57" s="77"/>
      <c r="K57" s="77"/>
      <c r="L57" s="77"/>
      <c r="M57" s="77"/>
    </row>
    <row r="58" customFormat="false" ht="37.5" hidden="false" customHeight="true" outlineLevel="0" collapsed="false">
      <c r="A58" s="76" t="s">
        <v>650</v>
      </c>
      <c r="B58" s="76"/>
      <c r="C58" s="76"/>
      <c r="D58" s="76"/>
      <c r="E58" s="77" t="s">
        <v>651</v>
      </c>
      <c r="F58" s="77"/>
      <c r="G58" s="77"/>
      <c r="H58" s="77"/>
      <c r="I58" s="77"/>
      <c r="J58" s="77"/>
      <c r="K58" s="77"/>
      <c r="L58" s="77"/>
      <c r="M58" s="77"/>
    </row>
    <row r="59" customFormat="false" ht="37.5" hidden="false" customHeight="true" outlineLevel="0" collapsed="false">
      <c r="A59" s="76" t="s">
        <v>652</v>
      </c>
      <c r="B59" s="76"/>
      <c r="C59" s="76"/>
      <c r="D59" s="76"/>
      <c r="E59" s="77" t="s">
        <v>653</v>
      </c>
      <c r="F59" s="77"/>
      <c r="G59" s="77"/>
      <c r="H59" s="77"/>
      <c r="I59" s="77"/>
      <c r="J59" s="77"/>
      <c r="K59" s="77"/>
      <c r="L59" s="77"/>
      <c r="M59" s="77"/>
    </row>
    <row r="61" customFormat="false" ht="17.25" hidden="false" customHeight="true" outlineLevel="0" collapsed="false">
      <c r="A61" s="66" t="s">
        <v>654</v>
      </c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</row>
    <row r="62" customFormat="false" ht="199.5" hidden="false" customHeight="true" outlineLevel="0" collapsed="false">
      <c r="A62" s="67" t="s">
        <v>655</v>
      </c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</row>
  </sheetData>
  <mergeCells count="31">
    <mergeCell ref="A1:M1"/>
    <mergeCell ref="A2:M2"/>
    <mergeCell ref="A5:M5"/>
    <mergeCell ref="A8:M8"/>
    <mergeCell ref="A16:M16"/>
    <mergeCell ref="A23:M23"/>
    <mergeCell ref="A29:M29"/>
    <mergeCell ref="A35:M35"/>
    <mergeCell ref="A42:M42"/>
    <mergeCell ref="B44:C44"/>
    <mergeCell ref="D44:E44"/>
    <mergeCell ref="F44:G44"/>
    <mergeCell ref="A50:M50"/>
    <mergeCell ref="A52:D52"/>
    <mergeCell ref="E52:M52"/>
    <mergeCell ref="A53:D53"/>
    <mergeCell ref="E53:M53"/>
    <mergeCell ref="A54:D54"/>
    <mergeCell ref="E54:M54"/>
    <mergeCell ref="A55:D55"/>
    <mergeCell ref="E55:M55"/>
    <mergeCell ref="A56:D56"/>
    <mergeCell ref="E56:M56"/>
    <mergeCell ref="A57:D57"/>
    <mergeCell ref="E57:M57"/>
    <mergeCell ref="A58:D58"/>
    <mergeCell ref="E58:M58"/>
    <mergeCell ref="A59:D59"/>
    <mergeCell ref="E59:M59"/>
    <mergeCell ref="A61:M61"/>
    <mergeCell ref="A62:M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2026-05-21T18:42:23Z</dcterms:created>
  <dc:creator>openpyxl</dc:creator>
  <dc:description/>
  <dc:language>en-US</dc:language>
  <cp:lastModifiedBy/>
  <dcterms:modified xsi:type="dcterms:W3CDTF">2026-05-22T15:19:28Z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